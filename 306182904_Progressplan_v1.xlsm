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sharedStrings.xml" ContentType="application/vnd.openxmlformats-officedocument.spreadsheetml.sharedStrings+xml"/>
  <Override PartName="/xl/drawings/drawing3.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_rels/sheet6.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sheet37.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worksheets/sheet34.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9.xml" ContentType="application/vnd.openxmlformats-officedocument.spreadsheetml.worksheet+xml"/>
  <Override PartName="/xl/worksheets/sheet12.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18.xml" ContentType="application/vnd.openxmlformats-officedocument.spreadsheetml.worksheet+xml"/>
  <Override PartName="/xl/worksheets/sheet3.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1"/>
  </bookViews>
  <sheets>
    <sheet name="Information" sheetId="1" state="visible" r:id="rId3"/>
    <sheet name="Instructions" sheetId="2" state="visible" r:id="rId4"/>
    <sheet name="FAQ" sheetId="3" state="visible" r:id="rId5"/>
    <sheet name="Create Progress Plan" sheetId="4" state="visible" r:id="rId6"/>
    <sheet name="Progress Plan" sheetId="5" state="hidden" r:id="rId7"/>
    <sheet name="Admin" sheetId="6" state="visible" r:id="rId8"/>
    <sheet name="Lists" sheetId="7" state="hidden" r:id="rId9"/>
    <sheet name="Tab Reference" sheetId="8" state="hidden" r:id="rId10"/>
    <sheet name="University - Doctorates" sheetId="9" state="hidden" r:id="rId11"/>
    <sheet name="University - Masters" sheetId="10" state="hidden" r:id="rId12"/>
    <sheet name="SCI - Doc" sheetId="11" state="hidden" r:id="rId13"/>
    <sheet name="SCI - Masters" sheetId="12" state="hidden" r:id="rId14"/>
    <sheet name="Ag - Doc" sheetId="13" state="hidden" r:id="rId15"/>
    <sheet name="Ag - Masters" sheetId="14" state="hidden" r:id="rId16"/>
    <sheet name="Bus - Doc" sheetId="15" state="hidden" r:id="rId17"/>
    <sheet name="Bus - Masters" sheetId="16" state="hidden" r:id="rId18"/>
    <sheet name="Architecture" sheetId="17" state="hidden" r:id="rId19"/>
    <sheet name="CON - Doc" sheetId="18" state="hidden" r:id="rId20"/>
    <sheet name="CON - Masters" sheetId="19" state="hidden" r:id="rId21"/>
    <sheet name="Dentistry - Doc" sheetId="20" state="hidden" r:id="rId22"/>
    <sheet name="Dentistry - Masters" sheetId="21" state="hidden" r:id="rId23"/>
    <sheet name="EDU - Doc" sheetId="22" state="hidden" r:id="rId24"/>
    <sheet name="EDU - Masters" sheetId="23" state="hidden" r:id="rId25"/>
    <sheet name="ENG" sheetId="24" state="hidden" r:id="rId26"/>
    <sheet name="ENG - IT" sheetId="25" state="hidden" r:id="rId27"/>
    <sheet name="FASS" sheetId="26" state="hidden" r:id="rId28"/>
    <sheet name="FHS" sheetId="27" state="hidden" r:id="rId29"/>
    <sheet name="LAW - Doc" sheetId="28" state="hidden" r:id="rId30"/>
    <sheet name="LAW - Masters" sheetId="29" state="hidden" r:id="rId31"/>
    <sheet name="Medicine - Doc" sheetId="30" state="hidden" r:id="rId32"/>
    <sheet name="Medicine - Masters" sheetId="31" state="hidden" r:id="rId33"/>
    <sheet name="Nursing - Doc" sheetId="32" state="hidden" r:id="rId34"/>
    <sheet name="Nursing - Masters" sheetId="33" state="hidden" r:id="rId35"/>
    <sheet name="SCA - Masters" sheetId="34" state="hidden" r:id="rId36"/>
    <sheet name="SCA - Doc" sheetId="35" state="hidden" r:id="rId37"/>
    <sheet name="VET - Doc" sheetId="36" state="hidden" r:id="rId38"/>
    <sheet name="VET - Masters" sheetId="37" state="hidden" r:id="rId39"/>
  </sheets>
  <definedNames>
    <definedName function="false" hidden="false" localSheetId="4" name="_xlnm.Print_Titles" vbProcedure="false">'Progress Plan'!$1:$13</definedName>
    <definedName function="false" hidden="false" name="CommencementDate" vbProcedure="false">'Create Progress Plan'!$G$4</definedName>
    <definedName function="false" hidden="false" name="Degree" vbProcedure="false">'Create Progress Plan'!$B$9</definedName>
    <definedName function="false" hidden="false" name="DegreeList" vbProcedure="false">Lists!$C$2:$C$3</definedName>
    <definedName function="false" hidden="false" name="EngineeringandITSchools" vbProcedure="false">Lists!$F$2</definedName>
    <definedName function="false" hidden="false" name="Faculty" vbProcedure="false">'Create Progress Plan'!$B$7</definedName>
    <definedName function="false" hidden="false" name="FacultyList" vbProcedure="false">Lists!$D$2:$D$17</definedName>
    <definedName function="false" hidden="false" name="ppCommencementDate" vbProcedure="false">'Progress Plan'!$J$4</definedName>
    <definedName function="false" hidden="false" name="ppDegree" vbProcedure="false">'Progress Plan'!$F$9</definedName>
    <definedName function="false" hidden="false" name="ppFaculty" vbProcedure="false">'Progress Plan'!$F$7</definedName>
    <definedName function="false" hidden="false" name="ppLastUpdated" vbProcedure="false">'Progress Plan'!$J$7</definedName>
    <definedName function="false" hidden="false" name="ppPrimarySupervisor" vbProcedure="false">'Progress Plan'!$J$5</definedName>
    <definedName function="false" hidden="false" name="ppSchool" vbProcedure="false">'Progress Plan'!$F$8</definedName>
    <definedName function="false" hidden="false" name="ppStudent" vbProcedure="false">'Progress Plan'!$F$4</definedName>
    <definedName function="false" hidden="false" name="ppStudentID" vbProcedure="false">'Progress Plan'!$F$5</definedName>
    <definedName function="false" hidden="false" name="PrimarySupervisor" vbProcedure="false">'Create Progress Plan'!$G$5</definedName>
    <definedName function="false" hidden="false" name="School" vbProcedure="false">'Create Progress Plan'!$B$8</definedName>
    <definedName function="false" hidden="false" name="SchoolList" vbProcedure="false">Lists!$E$2</definedName>
    <definedName function="false" hidden="false" name="StudentID" vbProcedure="false">'Create Progress Plan'!$B$5</definedName>
    <definedName function="false" hidden="false" name="StudentName" vbProcedure="false">'Create Progress Plan'!$B$4</definedName>
    <definedName function="false" hidden="false" name="TabList" vbProcedure="false">'Tab Reference'!$D:$E</definedName>
    <definedName function="false" hidden="false" localSheetId="4" name="EndOfProgressPlan" vbProcedure="false">'Progress Plan'!$C$29</definedName>
    <definedName function="false" hidden="false" localSheetId="4" name="StartOfProgressPlan" vbProcedure="false">'Progress Plan'!$C$13:$N$13</definedName>
    <definedName function="false" hidden="false" localSheetId="4" name="_xlnm.Print_Titles" vbProcedure="false">'Progress Plan'!$1:$13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<sst xmlns="http://schemas.openxmlformats.org/spreadsheetml/2006/main" count="1595" uniqueCount="397">
  <si>
    <t xml:space="preserve">Information</t>
  </si>
  <si>
    <t xml:space="preserve">v2.2.6</t>
  </si>
  <si>
    <t xml:space="preserve">Full-time</t>
  </si>
  <si>
    <r>
      <rPr>
        <b val="true"/>
        <sz val="14"/>
        <color rgb="FF000000"/>
        <rFont val="Calibri"/>
        <family val="2"/>
        <charset val="1"/>
      </rPr>
      <t>Progress plans
</t>
    </r>
    <r>
      <rPr>
        <sz val="11"/>
        <color rgb="FF000000"/>
        <rFont val="Calibri"/>
        <family val="2"/>
        <charset val="1"/>
      </rPr>
      <t>
This progress plan will help you understand the steps required at different stages of your candidature to ensure you're able to submit your thesis for examination by the due date.  The plan is not intended to be an administrative burden; rather, it aims to give you a framework to support your independent research.  Use it, change it, add to it.  The University has agreed that the plan should set out our expectations with regard to your satisfactory completion of degree requirements; you should respond to those expectations by setting your goals accordingly and realistically.
You'll need to update your progress plan at least twice a year, and also revisit it to check and change any key dates if you take a period of leave.
At the time of your progress review, normally completed annually in consultation with your supervisor, you are required to update your progress plan and upload it during the online review process.  The Higher Degree by Research Administration Centre will send you information about your progress review when it's done.
Please note that there are separate full-time and part-time progress plan templates available for download via your MyUni portal - this is indicated in the Mode field on the Create Progress Plan tab.  Ensure you have downloaded the correct template.  If you change the mode of your attendance (full-time to part-time or vice versa) you will need to re-create your progress plan because your milestone dates will change significantly.
</t>
    </r>
  </si>
  <si>
    <r>
      <rPr>
        <b val="true"/>
        <sz val="14"/>
        <color rgb="FF000000"/>
        <rFont val="Calibri"/>
        <family val="2"/>
        <charset val="1"/>
      </rPr>
      <t>Milestones
</t>
    </r>
    <r>
      <rPr>
        <sz val="11"/>
        <color rgb="FF000000"/>
        <rFont val="Calibri"/>
        <family val="2"/>
        <charset val="1"/>
      </rPr>
      <t>
Milestones have been set by the University and by your faculty  with the intention of providing a consistent pathway for students throughout candidature.  You can also set your own milestones; talk with your supervisor about personal milestones that you would like to add to your plan.
In the plan template, milestones are marked 'M', University milestones are further marked 'U' and faculty milestones are marked 'F'.  Additionally, some schools and disciplines in larger faculties have defined milestones unique to a department.  These are marked 'D'.  Any milestones you set for yourself will be marked 'S'.</t>
    </r>
  </si>
  <si>
    <r>
      <rPr>
        <b val="true"/>
        <sz val="14"/>
        <color rgb="FF000000"/>
        <rFont val="Calibri"/>
        <family val="2"/>
        <charset val="1"/>
      </rPr>
      <t>Activities
</t>
    </r>
    <r>
      <rPr>
        <sz val="11"/>
        <color rgb="FF000000"/>
        <rFont val="Calibri"/>
        <family val="2"/>
        <charset val="1"/>
      </rPr>
      <t>
Activities are the steps that lead to the completion of a milestone.  They are marked 'A'.  Some activities have been set by the University or by your faculty and they are automatically included when you create a plan.
You can add activities and associate them with existing University, faculty or personal milestones.  Just remember that the due date of any activity should always be earlier than or equal to the milestone due date.</t>
    </r>
  </si>
  <si>
    <r>
      <rPr>
        <b val="true"/>
        <sz val="18"/>
        <color rgb="FF000000"/>
        <rFont val="Calibri"/>
        <family val="2"/>
        <charset val="1"/>
      </rPr>
      <t>Instructions
</t>
    </r>
    <r>
      <rPr>
        <sz val="11"/>
        <color rgb="FF000000"/>
        <rFont val="Calibri"/>
        <family val="2"/>
        <charset val="1"/>
      </rPr>
      <t>
</t>
    </r>
  </si>
  <si>
    <r>
      <rPr>
        <b val="true"/>
        <sz val="14"/>
        <color rgb="FF000000"/>
        <rFont val="Calibri"/>
        <family val="2"/>
        <charset val="1"/>
      </rPr>
      <t>General
</t>
    </r>
    <r>
      <rPr>
        <sz val="11"/>
        <color rgb="FF000000"/>
        <rFont val="Calibri"/>
        <family val="2"/>
        <charset val="1"/>
      </rPr>
      <t>
1. The plan is set up as a Microsoft Excel file.  The cells that you can change are highlighted in blue.
2. Ensure that you have 'enabled editing' and 'enabled content' before you get started.  The Excel file depends on macros being enabled to work.
3. Refer to the Information tab for definitions of milestones and activities.
4. There are different templates for full-time and part-time students.
5. University, faculty and department milestones and activities cannot be deleted, however you may delete any personal milestones and activities that you have entered.
</t>
    </r>
  </si>
  <si>
    <r>
      <rPr>
        <b val="true"/>
        <sz val="14"/>
        <color rgb="FF000000"/>
        <rFont val="Calibri"/>
        <family val="2"/>
        <charset val="1"/>
      </rPr>
      <t>Creating a progress plan
</t>
    </r>
    <r>
      <rPr>
        <sz val="11"/>
        <color rgb="FF000000"/>
        <rFont val="Calibri"/>
        <family val="2"/>
        <charset val="1"/>
      </rPr>
      <t>
1. Download and save this Excel file to your desktop with the name 'Progress plan' including your SID and a version number.  Please use the following standard format so that we can store and retrieve your plan at any time: Student ID_Progressplan_v1
2. Select the 'Create Progress Plan' tab and enter your details in the blue highlighted fields.  As most of these details cannot be changed after you have created your plan, it's important that you make sure they are correct.
3. Click the 'Create Progress Plan' button.  This will create a default plan with all of the milestones agreed by the University and your faculty, as well as any agreed by your school or department.
</t>
    </r>
  </si>
  <si>
    <r>
      <rPr>
        <b val="true"/>
        <sz val="14"/>
        <color rgb="FF000000"/>
        <rFont val="Calibri"/>
        <family val="2"/>
        <charset val="1"/>
      </rPr>
      <t>Updating a progress plan
</t>
    </r>
    <r>
      <rPr>
        <sz val="11"/>
        <color rgb="FF000000"/>
        <rFont val="Calibri"/>
        <family val="2"/>
        <charset val="1"/>
      </rPr>
      <t>
1. Select the 'Progress Plan' tab.
2. Enter your revised date(s), a new status or a comment.
3. Add any personal milestones or activities.
4. Save your plan with the same details as above and a new version number e.g. Student ID_Progressplan_v1</t>
    </r>
  </si>
  <si>
    <r>
      <rPr>
        <b val="true"/>
        <sz val="18"/>
        <color rgb="FF000000"/>
        <rFont val="Calibri"/>
        <family val="2"/>
        <charset val="1"/>
      </rPr>
      <t>FAQ
</t>
    </r>
    <r>
      <rPr>
        <sz val="11"/>
        <color rgb="FF000000"/>
        <rFont val="Calibri"/>
        <family val="2"/>
        <charset val="1"/>
      </rPr>
      <t>
</t>
    </r>
  </si>
  <si>
    <t xml:space="preserve">Creating a progress plan</t>
  </si>
  <si>
    <r>
      <rPr>
        <b val="true"/>
        <sz val="11"/>
        <color rgb="FF000000"/>
        <rFont val="Calibri"/>
        <family val="2"/>
        <charset val="1"/>
      </rPr>
      <t>Q: I accidently picked the wrong faculty or school or degree when creating my progress plan. How do I fix it?
A: </t>
    </r>
    <r>
      <rPr>
        <sz val="11"/>
        <color rgb="FF000000"/>
        <rFont val="Calibri"/>
        <family val="2"/>
        <charset val="1"/>
      </rPr>
      <t>You cannot change these details once you have created a progress plan. This is because the tool uses this information to determine what milestones and activities are relevant for your progress plan. You will need to change ths information on the 'Create Progress Plan' tab and recreate the plan. Note that you will lose any additional information you have already included in your plan.</t>
    </r>
  </si>
  <si>
    <r>
      <rPr>
        <b val="true"/>
        <sz val="11"/>
        <color rgb="FF000000"/>
        <rFont val="Calibri"/>
        <family val="2"/>
        <charset val="1"/>
      </rPr>
      <t>Q: Some of the milestones or activities in the plan are not relevant to me. What do I do?
A: </t>
    </r>
    <r>
      <rPr>
        <sz val="11"/>
        <color rgb="FF000000"/>
        <rFont val="Calibri"/>
        <family val="2"/>
        <charset val="1"/>
      </rPr>
      <t>You should first discuss this with your supervisor. The milestones and activities which have been included in the plan are those that all students are required to complete. If, after discussion with your supervisor, it is agreed that they do not apply, you can set the status to 'Not Applicable'.</t>
    </r>
  </si>
  <si>
    <r>
      <rPr>
        <b val="true"/>
        <sz val="11"/>
        <color rgb="FF000000"/>
        <rFont val="Calibri"/>
        <family val="2"/>
        <charset val="1"/>
      </rPr>
      <t>Q: I tried deleting some of the milestones which were not relevant, but it wouldn't let me.
A: </t>
    </r>
    <r>
      <rPr>
        <sz val="11"/>
        <color rgb="FF000000"/>
        <rFont val="Calibri"/>
        <family val="2"/>
        <charset val="1"/>
      </rPr>
      <t>You cannot delete University, Faculty or School / Discipline milestones or activities. You can only delete student specific milestones that you have added. Please see the answer above for what to do if you believe the milestones or activities are not relevant for you.</t>
    </r>
  </si>
  <si>
    <r>
      <rPr>
        <b val="true"/>
        <sz val="11"/>
        <color rgb="FF000000"/>
        <rFont val="Calibri"/>
        <family val="2"/>
        <charset val="1"/>
      </rPr>
      <t>Q: The template doesn't seem to work.
A: </t>
    </r>
    <r>
      <rPr>
        <sz val="11"/>
        <color rgb="FF000000"/>
        <rFont val="Calibri"/>
        <family val="2"/>
        <charset val="1"/>
      </rPr>
      <t>Make sure that you have clicked on the 'enable editing' option as well as the 'enable content' option. The template requires macros to be enabled in order to work.</t>
    </r>
  </si>
  <si>
    <t xml:space="preserve">Updating a progress plan</t>
  </si>
  <si>
    <r>
      <rPr>
        <b val="true"/>
        <sz val="11"/>
        <color rgb="FF000000"/>
        <rFont val="Calibri"/>
        <family val="2"/>
        <charset val="1"/>
      </rPr>
      <t>Q: I tried to update the base date to reflect the new date that a milestone or activity was due, but it wouldn't let me. How do I do this?
A: </t>
    </r>
    <r>
      <rPr>
        <sz val="11"/>
        <color rgb="FF000000"/>
        <rFont val="Calibri"/>
        <family val="2"/>
        <charset val="1"/>
      </rPr>
      <t>You cannot change the base date. If the dates have changed, please enter a revised date for the milestone or activity. The base date remains the default for that particular milestone or activity.</t>
    </r>
  </si>
  <si>
    <r>
      <rPr>
        <b val="true"/>
        <sz val="11"/>
        <color rgb="FF000000"/>
        <rFont val="Calibri"/>
        <family val="2"/>
        <charset val="1"/>
      </rPr>
      <t>Q: How do I change the attendance mode?
A: </t>
    </r>
    <r>
      <rPr>
        <sz val="11"/>
        <color rgb="FF000000"/>
        <rFont val="Calibri"/>
        <family val="2"/>
        <charset val="1"/>
      </rPr>
      <t>You cannot change the attendance mode. There are separate templates for full-time and part-time students. If you change attendance mode, then you must create a new progress plan using the template for the new attendance mode.</t>
    </r>
  </si>
  <si>
    <r>
      <rPr>
        <b val="true"/>
        <sz val="11"/>
        <color rgb="FF000000"/>
        <rFont val="Calibri"/>
        <family val="2"/>
        <charset val="1"/>
      </rPr>
      <t>Q: How does the overdue column get calculated?
A: </t>
    </r>
    <r>
      <rPr>
        <sz val="11"/>
        <color rgb="FF000000"/>
        <rFont val="Calibri"/>
        <family val="2"/>
        <charset val="1"/>
      </rPr>
      <t>The overdue column is calculated automatically based upon the following:
      a) It checks to see if the status is complete, or not applicable. The overdue column only calculates if the status is not one of these.
      b) If there is a revised date, it is used otherwise it uses the base date
      c) The system shows it overdue if the current date (i.e.: today) is greater than the date in b) above.
</t>
    </r>
  </si>
  <si>
    <t xml:space="preserve">Student Information</t>
  </si>
  <si>
    <t xml:space="preserve">Name:</t>
  </si>
  <si>
    <t xml:space="preserve">Mark Greenaway</t>
  </si>
  <si>
    <t xml:space="preserve">Course Start Date:</t>
  </si>
  <si>
    <t xml:space="preserve">Student ID:</t>
  </si>
  <si>
    <t xml:space="preserve">Research Supervisor:</t>
  </si>
  <si>
    <t xml:space="preserve">Dr John Ormerod</t>
  </si>
  <si>
    <t xml:space="preserve">Faculty:</t>
  </si>
  <si>
    <t xml:space="preserve">Science</t>
  </si>
  <si>
    <t xml:space="preserve">School/Discipline:</t>
  </si>
  <si>
    <t xml:space="preserve">Mode:</t>
  </si>
  <si>
    <t xml:space="preserve">Degree:</t>
  </si>
  <si>
    <t xml:space="preserve">Doctorates</t>
  </si>
  <si>
    <t xml:space="preserve">Progress Plan</t>
  </si>
  <si>
    <t xml:space="preserve">Student Name:</t>
  </si>
  <si>
    <t xml:space="preserve">Your name</t>
  </si>
  <si>
    <t xml:space="preserve">Your supervisor's name</t>
  </si>
  <si>
    <t xml:space="preserve">Last Updated:</t>
  </si>
  <si>
    <t xml:space="preserve">Masters</t>
  </si>
  <si>
    <t xml:space="preserve">ID</t>
  </si>
  <si>
    <t xml:space="preserve">Parent</t>
  </si>
  <si>
    <t xml:space="preserve">Lvl</t>
  </si>
  <si>
    <t xml:space="preserve">Type</t>
  </si>
  <si>
    <t xml:space="preserve">Milestone / Activity</t>
  </si>
  <si>
    <t xml:space="preserve">Status</t>
  </si>
  <si>
    <t xml:space="preserve">Due Date</t>
  </si>
  <si>
    <t xml:space="preserve">Revised Date</t>
  </si>
  <si>
    <t xml:space="preserve">Overdue</t>
  </si>
  <si>
    <t xml:space="preserve">Comments</t>
  </si>
  <si>
    <t xml:space="preserve">SC1</t>
  </si>
  <si>
    <t xml:space="preserve">F</t>
  </si>
  <si>
    <t xml:space="preserve">M</t>
  </si>
  <si>
    <t xml:space="preserve">Research Plan</t>
  </si>
  <si>
    <t xml:space="preserve">Not Started</t>
  </si>
  <si>
    <t xml:space="preserve">U1</t>
  </si>
  <si>
    <t xml:space="preserve">U</t>
  </si>
  <si>
    <t xml:space="preserve">Preliminary Appraisal</t>
  </si>
  <si>
    <t xml:space="preserve">U2</t>
  </si>
  <si>
    <t xml:space="preserve">A</t>
  </si>
  <si>
    <t xml:space="preserve">WHS</t>
  </si>
  <si>
    <t xml:space="preserve">U10</t>
  </si>
  <si>
    <t xml:space="preserve">Research Data Management Plan</t>
  </si>
  <si>
    <t xml:space="preserve">U9</t>
  </si>
  <si>
    <t xml:space="preserve">Responsible Research Practice Module</t>
  </si>
  <si>
    <t xml:space="preserve">SC2</t>
  </si>
  <si>
    <t xml:space="preserve">Research Seminar</t>
  </si>
  <si>
    <t xml:space="preserve">SC3</t>
  </si>
  <si>
    <t xml:space="preserve">First Year Report</t>
  </si>
  <si>
    <t xml:space="preserve">SC5</t>
  </si>
  <si>
    <t xml:space="preserve">Human Ethics (General)</t>
  </si>
  <si>
    <t xml:space="preserve">U4</t>
  </si>
  <si>
    <t xml:space="preserve">Confirmation</t>
  </si>
  <si>
    <t xml:space="preserve">U3</t>
  </si>
  <si>
    <t xml:space="preserve">Finalise Research Proposal</t>
  </si>
  <si>
    <t xml:space="preserve">SC4</t>
  </si>
  <si>
    <t xml:space="preserve">Final Research Report</t>
  </si>
  <si>
    <t xml:space="preserve">U5</t>
  </si>
  <si>
    <t xml:space="preserve">Intent to Submit</t>
  </si>
  <si>
    <t xml:space="preserve">U6</t>
  </si>
  <si>
    <t xml:space="preserve">Thesis Submission</t>
  </si>
  <si>
    <t xml:space="preserve">U7</t>
  </si>
  <si>
    <t xml:space="preserve">Examination</t>
  </si>
  <si>
    <t xml:space="preserve">U8</t>
  </si>
  <si>
    <t xml:space="preserve">Award</t>
  </si>
  <si>
    <t xml:space="preserve">END OF PROGRESS PLAN</t>
  </si>
  <si>
    <t xml:space="preserve">Degrees</t>
  </si>
  <si>
    <t xml:space="preserve">Faculty</t>
  </si>
  <si>
    <t xml:space="preserve">School</t>
  </si>
  <si>
    <t xml:space="preserve">Engineering &amp; IT - Schools</t>
  </si>
  <si>
    <t xml:space="preserve">Agriculture and Environment</t>
  </si>
  <si>
    <t xml:space="preserve">Information Technologies</t>
  </si>
  <si>
    <t xml:space="preserve">Architecture</t>
  </si>
  <si>
    <t xml:space="preserve">Arts and Social Sciences</t>
  </si>
  <si>
    <t xml:space="preserve">Business</t>
  </si>
  <si>
    <t xml:space="preserve">Conservatorium</t>
  </si>
  <si>
    <t xml:space="preserve">Dentistry</t>
  </si>
  <si>
    <t xml:space="preserve">Education and Social Work</t>
  </si>
  <si>
    <t xml:space="preserve">Engineering and IT</t>
  </si>
  <si>
    <t xml:space="preserve">Health Sciences</t>
  </si>
  <si>
    <t xml:space="preserve">Law</t>
  </si>
  <si>
    <t xml:space="preserve">Medicine</t>
  </si>
  <si>
    <t xml:space="preserve">Nursing</t>
  </si>
  <si>
    <t xml:space="preserve">Pharmacy</t>
  </si>
  <si>
    <t xml:space="preserve">Sydney College of the Arts</t>
  </si>
  <si>
    <t xml:space="preserve">Veterinary Science</t>
  </si>
  <si>
    <t xml:space="preserve">Department</t>
  </si>
  <si>
    <t xml:space="preserve">Degree</t>
  </si>
  <si>
    <t xml:space="preserve">Concat</t>
  </si>
  <si>
    <t xml:space="preserve">Tab</t>
  </si>
  <si>
    <t xml:space="preserve">SCI - Doc</t>
  </si>
  <si>
    <t xml:space="preserve">SCI - Masters</t>
  </si>
  <si>
    <t xml:space="preserve">Ag - Doc</t>
  </si>
  <si>
    <t xml:space="preserve">Ag - Masters</t>
  </si>
  <si>
    <t xml:space="preserve">Bus - Doc</t>
  </si>
  <si>
    <t xml:space="preserve">Bus - Masters</t>
  </si>
  <si>
    <t xml:space="preserve">Dentistry - Doc</t>
  </si>
  <si>
    <t xml:space="preserve">Dentistry - Masters</t>
  </si>
  <si>
    <t xml:space="preserve">EDU - Doc</t>
  </si>
  <si>
    <t xml:space="preserve">EDU - Masters</t>
  </si>
  <si>
    <t xml:space="preserve">ENG</t>
  </si>
  <si>
    <t xml:space="preserve">ENG - IT</t>
  </si>
  <si>
    <t xml:space="preserve">FASS</t>
  </si>
  <si>
    <t xml:space="preserve">FHS</t>
  </si>
  <si>
    <t xml:space="preserve">Medicine - Doc</t>
  </si>
  <si>
    <t xml:space="preserve">Medicine - Masters</t>
  </si>
  <si>
    <t xml:space="preserve">Nursing - Doc</t>
  </si>
  <si>
    <t xml:space="preserve">Nursing - Masters</t>
  </si>
  <si>
    <t xml:space="preserve">VET - Doc</t>
  </si>
  <si>
    <t xml:space="preserve">VET - Masters</t>
  </si>
  <si>
    <t xml:space="preserve">LAW - Doc</t>
  </si>
  <si>
    <t xml:space="preserve">LAW - Masters</t>
  </si>
  <si>
    <t xml:space="preserve">CON - Doc</t>
  </si>
  <si>
    <t xml:space="preserve">CON - Masters</t>
  </si>
  <si>
    <t xml:space="preserve">SCA - Doc</t>
  </si>
  <si>
    <t xml:space="preserve">SCA - Masters</t>
  </si>
  <si>
    <t xml:space="preserve">Timing</t>
  </si>
  <si>
    <t xml:space="preserve">Name</t>
  </si>
  <si>
    <t xml:space="preserve">Time Offset</t>
  </si>
  <si>
    <t xml:space="preserve">+6M</t>
  </si>
  <si>
    <t xml:space="preserve">Draft research proposal/plan and review and identify training needs and skills development required to achieve the plan. Identify if ethics approval is required and identify and document any initial intellectual property rights. Complete induction requirements at local and university level.</t>
  </si>
  <si>
    <t xml:space="preserve">+2M</t>
  </si>
  <si>
    <t xml:space="preserve">Complete the Work Health and Safety online induction module.</t>
  </si>
  <si>
    <t xml:space="preserve">+12M</t>
  </si>
  <si>
    <t xml:space="preserve">Review and finalise the research proposal ensuring that the research design is appropriate and feasible.</t>
  </si>
  <si>
    <t xml:space="preserve">Finalise the research data management plan in relation to the research proposal and the ethics submission (if applicable). Review and identify resources and training requirements to support the research proposal.</t>
  </si>
  <si>
    <t xml:space="preserve">-3M</t>
  </si>
  <si>
    <t xml:space="preserve">Consult with your supervisor on the readiness of the thesis for submission including compliance with ethics, IP agreements and data management plan. Prepare and submit the Notice of Intent to Submit form and liaise with your supervisor about potential examiners. Refer to the Progress Planning and Review for HDR Students Policy and Procedures 2015.</t>
  </si>
  <si>
    <t xml:space="preserve">+42M</t>
  </si>
  <si>
    <t xml:space="preserve">Submit thesis by agreed submission date.</t>
  </si>
  <si>
    <t xml:space="preserve">+4M</t>
  </si>
  <si>
    <t xml:space="preserve">Respond to University requests related to the examination process, review examiner reports and liaise with your supervisor regarding examination outcomes.</t>
  </si>
  <si>
    <t xml:space="preserve">Complete any requirements for award, including emendations and lodge final version of thesis.</t>
  </si>
  <si>
    <t xml:space="preserve">Complete the Responsible Research Practice online module.</t>
  </si>
  <si>
    <t xml:space="preserve">+3M</t>
  </si>
  <si>
    <t xml:space="preserve">Draft a research data management plan in accordance with the University’s Research Data Management Policy and Procedures.</t>
  </si>
  <si>
    <t xml:space="preserve">+24M</t>
  </si>
  <si>
    <t xml:space="preserve">Written document of polished text that represents the achievements and understanding of the topic and effectively communicates the activities and timeframes for how the research will be achieved. </t>
  </si>
  <si>
    <t xml:space="preserve">+10M</t>
  </si>
  <si>
    <t xml:space="preserve">As part of school activities (e.g. Postgrad. Showcase, School seminars etc). the candidate is required to deliver a seminar to a group larger than the research group of the candidate. </t>
  </si>
  <si>
    <t xml:space="preserve">This should be a substantial written research report, detailing the research activities done in the first 12 months of candidature. Owing to large variety of research topics and approaches within the Faculty of Science, specifications of content and format of these reports will be set at School level.</t>
  </si>
  <si>
    <t xml:space="preserve">Intermediate Seminar</t>
  </si>
  <si>
    <t xml:space="preserve">A presentation (either via an oral or poster presentation) on an aspect of their research to a whole-school audience. The exact format and requirement of these will vary among schools within the Faculty. With appropriate permission, substitution of a presentation at an national or international conference.</t>
  </si>
  <si>
    <t xml:space="preserve">+36M</t>
  </si>
  <si>
    <t xml:space="preserve">The different disciplines in Science have different approaches to this activity. Some may want a pre-submission report/thesis outline, others may want a summative seminar. Each school will provide a written set of guidance notes as to what is required from candidates at this stage in the progression within their school. </t>
  </si>
  <si>
    <t xml:space="preserve">SC6</t>
  </si>
  <si>
    <t xml:space="preserve">Satisfactorily complete the unit of study Human Ethics (General)</t>
  </si>
  <si>
    <t xml:space="preserve">+18M</t>
  </si>
  <si>
    <t xml:space="preserve">A1</t>
  </si>
  <si>
    <t xml:space="preserve">Written research proposal. Format/scope to be determined by supervisor. Submission must be approved by Postgraduate Coordinator. 
</t>
  </si>
  <si>
    <t xml:space="preserve">A2</t>
  </si>
  <si>
    <t xml:space="preserve">Seminar presentation, outlining the research proposal . Candidate should keep a record of feedback, and how it will be addressed 
</t>
  </si>
  <si>
    <t xml:space="preserve">A3</t>
  </si>
  <si>
    <t xml:space="preserve">Major piece of writing</t>
  </si>
  <si>
    <t xml:space="preserve">Provides evidence of writing ability. This piece of writing may take any of several forms, as agreed with the supervisor e.g. lit. review, first year report, journal manuscript. It will be submitted to the PGC.</t>
  </si>
  <si>
    <t xml:space="preserve">A4</t>
  </si>
  <si>
    <t xml:space="preserve">Intermediate Presentation</t>
  </si>
  <si>
    <t xml:space="preserve">Poster presentation at the Annual Faculty Symposium. Poster or oral presentation of data at a National or International Conference is also acceptable.</t>
  </si>
  <si>
    <t xml:space="preserve">A5</t>
  </si>
  <si>
    <t xml:space="preserve">Final Seminar Presentation</t>
  </si>
  <si>
    <t xml:space="preserve">This seminar should be a professional presentation of research results. It should be equivalent to an oral presentation at a major conference, but must be done within the Faculty.</t>
  </si>
  <si>
    <t xml:space="preserve">B1</t>
  </si>
  <si>
    <t xml:space="preserve">Research Training</t>
  </si>
  <si>
    <t xml:space="preserve">B2</t>
  </si>
  <si>
    <t xml:space="preserve">Complete BUSS7901</t>
  </si>
  <si>
    <t xml:space="preserve">B3</t>
  </si>
  <si>
    <t xml:space="preserve">Complete 2 Coursework units</t>
  </si>
  <si>
    <t xml:space="preserve">Complete 2 methodology units - one qualitative and one quantitative</t>
  </si>
  <si>
    <t xml:space="preserve">B4</t>
  </si>
  <si>
    <t xml:space="preserve">Complete additional training</t>
  </si>
  <si>
    <t xml:space="preserve">Complete any additional training which may be required.</t>
  </si>
  <si>
    <t xml:space="preserve">B5</t>
  </si>
  <si>
    <t xml:space="preserve">Defend Research Thesis Proposal</t>
  </si>
  <si>
    <t xml:space="preserve">Based upon the outcomes of the Thesis Proposal Defence, updates may be required to the proposal. They must be completed by this date.</t>
  </si>
  <si>
    <t xml:space="preserve">B6</t>
  </si>
  <si>
    <t xml:space="preserve">Thesis Proposal Defence (oral)</t>
  </si>
  <si>
    <t xml:space="preserve">+14M</t>
  </si>
  <si>
    <t xml:space="preserve">Candidates must schedule a thesis proposal defence within 14 months of commencement.</t>
  </si>
  <si>
    <t xml:space="preserve">B7</t>
  </si>
  <si>
    <t xml:space="preserve">Thesis Proposal Defence (written)</t>
  </si>
  <si>
    <t xml:space="preserve">-21D</t>
  </si>
  <si>
    <t xml:space="preserve">B8</t>
  </si>
  <si>
    <t xml:space="preserve">2 YR Review</t>
  </si>
  <si>
    <t xml:space="preserve">All students must provide evidence of substantive writing and progress in their research work. This could take the form of a paper submitted to a conference or journal or a working paper or a draft thesis chapter.</t>
  </si>
  <si>
    <t xml:space="preserve">B9</t>
  </si>
  <si>
    <t xml:space="preserve">Faculty Research Methods</t>
  </si>
  <si>
    <t xml:space="preserve">Complete ARCF9001 Modes of Inquiry: Research and Scholarship in the first possible session after commencement. This forms part of probation.</t>
  </si>
  <si>
    <t xml:space="preserve">C1</t>
  </si>
  <si>
    <t xml:space="preserve">C2</t>
  </si>
  <si>
    <t xml:space="preserve">Schedule Research Training</t>
  </si>
  <si>
    <t xml:space="preserve">+14D</t>
  </si>
  <si>
    <t xml:space="preserve">Identify and schedule research training requirements for the degree with reference to faculty handbooks (DMA) and in consultation with coordinating supervisor (DMA and PhD).</t>
  </si>
  <si>
    <t xml:space="preserve">Year 1 Research Training</t>
  </si>
  <si>
    <t xml:space="preserve">+9M</t>
  </si>
  <si>
    <t xml:space="preserve">Complete any discipline-specific research training as described in faculty handbooks and degree resolutions (DMA), and/or as agreed with coordinating supervisor (DMA and PhD).</t>
  </si>
  <si>
    <t xml:space="preserve">C3</t>
  </si>
  <si>
    <t xml:space="preserve">Present Research to Date</t>
  </si>
  <si>
    <t xml:space="preserve">+8M</t>
  </si>
  <si>
    <t xml:space="preserve">Presentation of research to date in an approved faculty research student forum prior to annual progress review.</t>
  </si>
  <si>
    <t xml:space="preserve">C4</t>
  </si>
  <si>
    <t xml:space="preserve">Year 2 Research Presentation</t>
  </si>
  <si>
    <t xml:space="preserve">+21M</t>
  </si>
  <si>
    <t xml:space="preserve">By the conclusion of the second year of full-time study and before the annual progress review, each student is expected to complete a substantial recital or portfolio of creative work (DMA), or give a research presentation at a faculty student symposium or other agreed occasion (PhD).</t>
  </si>
  <si>
    <t xml:space="preserve">Identify and schedule research training requirements for the degree with reference to faculty handbooks and in consultation with coordinating supervisor.</t>
  </si>
  <si>
    <t xml:space="preserve">Complete any discipline-specific research training as described in faculty handbooks and degree resolutions, and as agreed with coordinating supervisor.</t>
  </si>
  <si>
    <t xml:space="preserve">Schedule 2nd Year Research Training</t>
  </si>
  <si>
    <t xml:space="preserve">Identify and schedule 2nd year research training requirements with reference to faculty handbooks and in consultation with coordinating supervisor.</t>
  </si>
  <si>
    <t xml:space="preserve">Year 2 Research Training</t>
  </si>
  <si>
    <t xml:space="preserve">D1</t>
  </si>
  <si>
    <t xml:space="preserve">Oral Presentation - Thesis Plan &amp;  Progress</t>
  </si>
  <si>
    <t xml:space="preserve">All students to give an oral presentation to peers on thesis plan and progress as part of their confirmation requirements.</t>
  </si>
  <si>
    <t xml:space="preserve">D2</t>
  </si>
  <si>
    <t xml:space="preserve">Write Review or Research Proposal</t>
  </si>
  <si>
    <t xml:space="preserve">All students to provide evidence of scientific writing, based on their project that will form part of their thesis. The literature review or thesis proposal will also demonstrate knowledge of the field of research within the context of research plan.</t>
  </si>
  <si>
    <t xml:space="preserve">D3</t>
  </si>
  <si>
    <t xml:space="preserve">Oral Presentation - Thesis Progress</t>
  </si>
  <si>
    <t xml:space="preserve">All students to give an oral presentation to peers on thesis progress.</t>
  </si>
  <si>
    <t xml:space="preserve">D4</t>
  </si>
  <si>
    <t xml:space="preserve">E1</t>
  </si>
  <si>
    <t xml:space="preserve">Induction Seminar</t>
  </si>
  <si>
    <t xml:space="preserve">+1M</t>
  </si>
  <si>
    <t xml:space="preserve">Complete induction form with supervisor</t>
  </si>
  <si>
    <t xml:space="preserve">E2</t>
  </si>
  <si>
    <t xml:space="preserve">Developing Research Proposal Workshop</t>
  </si>
  <si>
    <t xml:space="preserve">Attend the 'Developing a Research Proposal' workshop or complete the equivalent unit of study.</t>
  </si>
  <si>
    <t xml:space="preserve">E3</t>
  </si>
  <si>
    <t xml:space="preserve">Initial Draft Chapters</t>
  </si>
  <si>
    <t xml:space="preserve">Complete early draft of the first three chapters of the thesis, including the research methodology chapter.</t>
  </si>
  <si>
    <t xml:space="preserve">E4</t>
  </si>
  <si>
    <t xml:space="preserve">Thesis Proposal Review Meeting</t>
  </si>
  <si>
    <t xml:space="preserve">Once committee approves proposal, ethics application can be commenced.</t>
  </si>
  <si>
    <t xml:space="preserve">E5</t>
  </si>
  <si>
    <t xml:space="preserve">Thesis Completion Checkpoint</t>
  </si>
  <si>
    <t xml:space="preserve">+30M</t>
  </si>
  <si>
    <t xml:space="preserve">Complete 60% - 80% of thesis.</t>
  </si>
  <si>
    <t xml:space="preserve">E6</t>
  </si>
  <si>
    <t xml:space="preserve">Research Training - Year 1</t>
  </si>
  <si>
    <t xml:space="preserve">Complete six research training modules or seminars</t>
  </si>
  <si>
    <t xml:space="preserve">E7</t>
  </si>
  <si>
    <t xml:space="preserve">Research Training - Year 2</t>
  </si>
  <si>
    <t xml:space="preserve">E8</t>
  </si>
  <si>
    <t xml:space="preserve">Research Presentations</t>
  </si>
  <si>
    <t xml:space="preserve">Present at least twice at a Postgraduate Research Forum or approved national or international conferences</t>
  </si>
  <si>
    <t xml:space="preserve">Research Methods Induction</t>
  </si>
  <si>
    <t xml:space="preserve">HDR Discussion Checklist</t>
  </si>
  <si>
    <t xml:space="preserve">All students to meet with Research Supervisors to complete HDR Discussion Checklist</t>
  </si>
  <si>
    <t xml:space="preserve">D</t>
  </si>
  <si>
    <t xml:space="preserve">Successfully complete INFO5993</t>
  </si>
  <si>
    <t xml:space="preserve">Successful completion of INFO5993 – Research Methods in IT</t>
  </si>
  <si>
    <t xml:space="preserve">F1</t>
  </si>
  <si>
    <t xml:space="preserve">-12M</t>
  </si>
  <si>
    <t xml:space="preserve">Candidates must present a portion of their thesis research based on the guidelines provided by their department/discipline. Submission must be approved by Postgraduate Coordinator.</t>
  </si>
  <si>
    <t xml:space="preserve">Probation Oral Presentation</t>
  </si>
  <si>
    <t xml:space="preserve">All HDR students are to give an oral presentation on their research project.</t>
  </si>
  <si>
    <t xml:space="preserve">F2</t>
  </si>
  <si>
    <t xml:space="preserve">Evidence of writing</t>
  </si>
  <si>
    <t xml:space="preserve">All HDR students are to provide evidence of scientific writing that is related to their research project and forms part of the thesis.</t>
  </si>
  <si>
    <t xml:space="preserve">F3</t>
  </si>
  <si>
    <t xml:space="preserve">Completion Seminar</t>
  </si>
  <si>
    <t xml:space="preserve">In their last 12 months of candidature, students are required to provide a summative presentation of their research.</t>
  </si>
  <si>
    <t xml:space="preserve">L1</t>
  </si>
  <si>
    <t xml:space="preserve">Legal Research 1</t>
  </si>
  <si>
    <t xml:space="preserve">Complete Legal Research 1 unit of study and all assessment tasks</t>
  </si>
  <si>
    <t xml:space="preserve">L2</t>
  </si>
  <si>
    <t xml:space="preserve">Research Strategy</t>
  </si>
  <si>
    <t xml:space="preserve">Presentation of Research strategy completed for Legal Research 1</t>
  </si>
  <si>
    <t xml:space="preserve">L3</t>
  </si>
  <si>
    <t xml:space="preserve">Legal Research 2</t>
  </si>
  <si>
    <t xml:space="preserve">Complete Legal Research 2 unit of study and all assessment tasks</t>
  </si>
  <si>
    <t xml:space="preserve">L4</t>
  </si>
  <si>
    <t xml:space="preserve">Legal Research 3</t>
  </si>
  <si>
    <t xml:space="preserve">Complete Legal Research 3 unit of study and all assessment tasks</t>
  </si>
  <si>
    <t xml:space="preserve">L5</t>
  </si>
  <si>
    <t xml:space="preserve">M1</t>
  </si>
  <si>
    <t xml:space="preserve">Oral Presentation</t>
  </si>
  <si>
    <t xml:space="preserve">All students to give an oral presentation to Peers as part of their confirmation requirements.</t>
  </si>
  <si>
    <t xml:space="preserve">M2</t>
  </si>
  <si>
    <t xml:space="preserve">Write review or proposal</t>
  </si>
  <si>
    <t xml:space="preserve">M3</t>
  </si>
  <si>
    <t xml:space="preserve">Students are to attend a minimum of 2 research training sessions within the Faculty or broader research community. These can be lecture format, on-line, or personal training sessions.</t>
  </si>
  <si>
    <t xml:space="preserve">M4</t>
  </si>
  <si>
    <t xml:space="preserve">All students to give an oral presentation to Peers on progress.</t>
  </si>
  <si>
    <t xml:space="preserve">M5</t>
  </si>
  <si>
    <t xml:space="preserve">Students are to attend a minimum of 2 research training sessions within the Faculty or broader research community. These can be lecture format, on-line, or personal training sessions</t>
  </si>
  <si>
    <t xml:space="preserve">M6</t>
  </si>
  <si>
    <t xml:space="preserve">M7</t>
  </si>
  <si>
    <t xml:space="preserve">N1</t>
  </si>
  <si>
    <t xml:space="preserve">Stage 1</t>
  </si>
  <si>
    <t xml:space="preserve">N2</t>
  </si>
  <si>
    <t xml:space="preserve">All students to orally present the proposed thesis topic and intended research design to the School as part of their confirmation requirements.</t>
  </si>
  <si>
    <t xml:space="preserve">N3</t>
  </si>
  <si>
    <t xml:space="preserve">Confirmation Proposal Review</t>
  </si>
  <si>
    <t xml:space="preserve">All students to submit a written confirmation proposal one month before agreed date of confirmation panel interview.</t>
  </si>
  <si>
    <t xml:space="preserve">N4</t>
  </si>
  <si>
    <t xml:space="preserve">Peer Networking</t>
  </si>
  <si>
    <t xml:space="preserve">Students to document on their research plan attendance at/ online involvement with (½ day or longer) research training activities that their supervisor(s) support as assisting to develop peer networks with HDR students.</t>
  </si>
  <si>
    <t xml:space="preserve">N5</t>
  </si>
  <si>
    <t xml:space="preserve">Stage 2</t>
  </si>
  <si>
    <t xml:space="preserve">N6</t>
  </si>
  <si>
    <t xml:space="preserve">All students to orally present to the School and then lead a short discussion addressing their methodology/analytical framework/planned analysis or a significant thesis related research issue.</t>
  </si>
  <si>
    <t xml:space="preserve">N7</t>
  </si>
  <si>
    <t xml:space="preserve">Academic Writing</t>
  </si>
  <si>
    <t xml:space="preserve">All students to provide substantive evidence of academic writing that their supervisor(s) agrees will form part of their thesis.</t>
  </si>
  <si>
    <t xml:space="preserve">N8</t>
  </si>
  <si>
    <t xml:space="preserve">Students to document on their research plan attendance at/ online involvement with (½ day or longer) research training activities that their supervisor(s) supports as assisting to develop peer networks with HDR students.</t>
  </si>
  <si>
    <t xml:space="preserve">N9</t>
  </si>
  <si>
    <t xml:space="preserve">Stage 3</t>
  </si>
  <si>
    <t xml:space="preserve">N10</t>
  </si>
  <si>
    <t xml:space="preserve">All students to orally present the outcomes of their thesis work (as understood at this point in their candidature) to the School.</t>
  </si>
  <si>
    <t xml:space="preserve">N11</t>
  </si>
  <si>
    <t xml:space="preserve">S1</t>
  </si>
  <si>
    <t xml:space="preserve">Submit a reworked research proposal that outlines areas of academic scholarship informing the written thesis and lists relevant creative practitioners. Dual Outcome candidates should outline the specific field/s of contemporary art and artists informing their studio practice.</t>
  </si>
  <si>
    <t xml:space="preserve">S2</t>
  </si>
  <si>
    <t xml:space="preserve">Research Methodology Seminar</t>
  </si>
  <si>
    <t xml:space="preserve">Attend seminar program: CART7001 Introduction to Research Methodology.</t>
  </si>
  <si>
    <t xml:space="preserve">S3</t>
  </si>
  <si>
    <t xml:space="preserve">Studio Presentation One</t>
  </si>
  <si>
    <t xml:space="preserve">Attend scheduled group tutorials: CART7003 Critical Analysis in Studio 1.</t>
  </si>
  <si>
    <t xml:space="preserve">S4</t>
  </si>
  <si>
    <t xml:space="preserve">Revised Research Proposal</t>
  </si>
  <si>
    <t xml:space="preserve">Produce a final version of the research proposal that addresses all of the issues outlined in the 'Research Plan' milestone.
A chapter outline detailing the content of each section must be completed.</t>
  </si>
  <si>
    <t xml:space="preserve">S5</t>
  </si>
  <si>
    <t xml:space="preserve">First Draft</t>
  </si>
  <si>
    <t xml:space="preserve">Submit a substantially completed draft.</t>
  </si>
  <si>
    <t xml:space="preserve">S6</t>
  </si>
  <si>
    <t xml:space="preserve">Exhibition Practices Seminar (Dual Outcome)</t>
  </si>
  <si>
    <t xml:space="preserve">Attend seminar program: CART7002 Exhibition Practices.  At the end of the program produce a draft plan of examination exhibition. 
Thesis Only students are not required to attend this seminar program.</t>
  </si>
  <si>
    <t xml:space="preserve">S7</t>
  </si>
  <si>
    <t xml:space="preserve">Studio Presentation Two</t>
  </si>
  <si>
    <t xml:space="preserve">+22M</t>
  </si>
  <si>
    <t xml:space="preserve">Attend scheduled group tutorials: CART7004 Critical Analysis in Studio 2.</t>
  </si>
  <si>
    <t xml:space="preserve">S8</t>
  </si>
  <si>
    <t xml:space="preserve">Thesis Submission (Dual Outcome)</t>
  </si>
  <si>
    <t xml:space="preserve">-0M</t>
  </si>
  <si>
    <t xml:space="preserve">The University milestone 'Thesis Submission' is  applicable to Thesis Only students. Dual Outcome students must submit their thesis 7 weeks prior to their oral examination. If you are a Dual Outcome student, enter your thesis submission date in the Revised Date column (ie. 7 weeks before oral exam).  The electronic version should be submitted as a pdf document. </t>
  </si>
  <si>
    <t xml:space="preserve">Attend weekly seminar program: CART7005 Art as Research</t>
  </si>
  <si>
    <t xml:space="preserve">Literature Review and Artists Survey</t>
  </si>
  <si>
    <t xml:space="preserve">Complete a literature review surveying the key theorists and areas of scholarship that inform the writing. Dual Outcome candidates must complete a short written survey of the artists/film makers/curators whose work informs their studio practice.</t>
  </si>
  <si>
    <t xml:space="preserve">Research Presentation One</t>
  </si>
  <si>
    <t xml:space="preserve">Students are required to make two presentations on their research to the Graduate Forum over the course of their candidature.
Presentation 1 takes place in the second year of candidature.</t>
  </si>
  <si>
    <t xml:space="preserve">Research Presentation Two</t>
  </si>
  <si>
    <t xml:space="preserve">Students are required to make two presentations on their research to the Graduate Forum over the course of their candidature.
Presentation 2 takes place in the third year of candidature.</t>
  </si>
  <si>
    <t xml:space="preserve">V1</t>
  </si>
  <si>
    <t xml:space="preserve">Induction Activities</t>
  </si>
  <si>
    <t xml:space="preserve">v2</t>
  </si>
  <si>
    <t xml:space="preserve">Vet WHS Induction</t>
  </si>
  <si>
    <t xml:space="preserve">V3</t>
  </si>
  <si>
    <t xml:space="preserve">Animal / Human Ethics</t>
  </si>
  <si>
    <t xml:space="preserve">V4</t>
  </si>
  <si>
    <t xml:space="preserve">Biosafety Module</t>
  </si>
  <si>
    <t xml:space="preserve">V5</t>
  </si>
  <si>
    <t xml:space="preserve">Academic Honesty Module</t>
  </si>
  <si>
    <t xml:space="preserve">V6</t>
  </si>
  <si>
    <t xml:space="preserve">Vaccination</t>
  </si>
  <si>
    <t xml:space="preserve">Vaccination for Q fever if in contact with any animal tissues or fluids.</t>
  </si>
  <si>
    <t xml:space="preserve">V7</t>
  </si>
  <si>
    <t xml:space="preserve">A written document at a reasonable academic standard that represents the understanding of the topic and effectively communicates the activities and timeframes for how the research will be achieved and the specific aims of the project. </t>
  </si>
  <si>
    <t xml:space="preserve">V8</t>
  </si>
  <si>
    <t xml:space="preserve">As part of Faculty activities (e.g. Postgrad. Conference, seminars etc) the candidate is required to deliver a seminar and respond to questioning, to a group larger than the immediate research group of the candidate. </t>
  </si>
  <si>
    <t xml:space="preserve">V9</t>
  </si>
  <si>
    <t xml:space="preserve">First Year report</t>
  </si>
  <si>
    <t xml:space="preserve">This should be a substantial written research report detailing the research activities conducted in the first 12 months of candidature.  The report must be read by the primary supervisor and should be read by at least one other member of academic staff.</t>
  </si>
  <si>
    <t xml:space="preserve">V10</t>
  </si>
  <si>
    <t xml:space="preserve">Annual Reporting (Yr1)</t>
  </si>
  <si>
    <t xml:space="preserve">Candidates will present (either via an oral or poster presentation) an aspect of their research to a whole-faculty audience, or with permission  at a national or international conference, providing that the candidate has obtained feedback from members of the school, prior to presenting at the conference.</t>
  </si>
  <si>
    <t xml:space="preserve">V11</t>
  </si>
  <si>
    <t xml:space="preserve">Annual Reporting (Yr2)</t>
  </si>
  <si>
    <t xml:space="preserve">V12</t>
  </si>
  <si>
    <t xml:space="preserve">Annual Reporting (Yr3)</t>
  </si>
  <si>
    <t xml:space="preserve">V13</t>
  </si>
  <si>
    <t xml:space="preserve">Final Reporting Activities</t>
  </si>
  <si>
    <t xml:space="preserve">V14</t>
  </si>
  <si>
    <t xml:space="preserve">Seminar Presentation</t>
  </si>
  <si>
    <t xml:space="preserve">The candidate will present a seminar, which can be at the local postgraduate conference, however ideally the seminar should be undertaken during a Faculty / School seminar or national or international disciplinary conference, providing that the candidate has obtained feedback from members of the school, prior to presenting at the conference.</t>
  </si>
  <si>
    <t xml:space="preserve">V15</t>
  </si>
  <si>
    <t xml:space="preserve">Written Submission</t>
  </si>
  <si>
    <t xml:space="preserve">The thesis literature review is completed to a reasonable academic standard and a minimum of three research chapters, have been completed which must be read by the primary supervisor and should be read by at least one other member of academic staff. Evidence in the form of a thesis in preparation is sufficient; a separate report is not required.</t>
  </si>
  <si>
    <t xml:space="preserve">The thesis literature review is completed to a reasonable academic standard and a minimum of one research chapter, has been completed which must be read by the primary supervisor and should be read by at least one other member of academic staff. Evidence in the form of a thesis in preparation is sufficient; a separate report is not required.</t>
  </si>
</sst>
</file>

<file path=xl/styles.xml><?xml version="1.0" encoding="utf-8"?>
<styleSheet xmlns="http://schemas.openxmlformats.org/spreadsheetml/2006/main">
  <numFmts count="6">
    <numFmt numFmtId="164" formatCode="General"/>
    <numFmt numFmtId="165" formatCode="D/MM/YYYY"/>
    <numFmt numFmtId="166" formatCode="D/MM/YYYY\ H:MM"/>
    <numFmt numFmtId="167" formatCode=";;;@"/>
    <numFmt numFmtId="168" formatCode="@"/>
    <numFmt numFmtId="169" formatCode="D\-MMM\-YYYY"/>
  </numFmts>
  <fonts count="15">
    <font>
      <sz val="11"/>
      <color rgb="FF000000"/>
      <name val="Calibri"/>
      <family val="2"/>
      <charset val="1"/>
    </font>
    <font>
      <sz val="10"/>
      <name val="Arial"/>
      <family val="0"/>
    </font>
    <font>
      <sz val="10"/>
      <name val="Arial"/>
      <family val="0"/>
    </font>
    <font>
      <sz val="10"/>
      <name val="Arial"/>
      <family val="0"/>
    </font>
    <font>
      <b val="true"/>
      <sz val="18"/>
      <color rgb="FF000000"/>
      <name val="Calibri"/>
      <family val="2"/>
      <charset val="1"/>
    </font>
    <font>
      <sz val="9"/>
      <color rgb="FF000000"/>
      <name val="Calibri"/>
      <family val="2"/>
      <charset val="1"/>
    </font>
    <font>
      <b val="true"/>
      <sz val="14"/>
      <color rgb="FF000000"/>
      <name val="Calibri"/>
      <family val="2"/>
      <charset val="1"/>
    </font>
    <font>
      <b val="true"/>
      <sz val="11"/>
      <color rgb="FF000000"/>
      <name val="Calibri"/>
      <family val="2"/>
      <charset val="1"/>
    </font>
    <font>
      <b val="true"/>
      <sz val="20"/>
      <color rgb="FF000000"/>
      <name val="Calibri"/>
      <family val="2"/>
      <charset val="1"/>
    </font>
    <font>
      <sz val="11"/>
      <color rgb="FF000000"/>
      <name val="Calibri"/>
      <family val="0"/>
      <charset val="1"/>
    </font>
    <font>
      <u val="single"/>
      <sz val="11"/>
      <color rgb="FF0000FF"/>
      <name val="Calibri"/>
      <family val="2"/>
      <charset val="1"/>
    </font>
    <font>
      <sz val="11"/>
      <color rgb="FFFF0000"/>
      <name val="Calibri"/>
      <family val="2"/>
      <charset val="1"/>
    </font>
    <font>
      <sz val="11"/>
      <color rgb="FFFFFFFF"/>
      <name val="Calibri"/>
      <family val="2"/>
      <charset val="1"/>
    </font>
    <font>
      <sz val="8"/>
      <color rgb="FF000000"/>
      <name val="Segoe UI"/>
      <family val="0"/>
      <charset val="1"/>
    </font>
    <font>
      <sz val="10"/>
      <color rgb="FF000000"/>
      <name val="Verdana"/>
      <family val="2"/>
      <charset val="1"/>
    </font>
  </fonts>
  <fills count="5">
    <fill>
      <patternFill patternType="none"/>
    </fill>
    <fill>
      <patternFill patternType="gray125"/>
    </fill>
    <fill>
      <patternFill patternType="solid">
        <fgColor rgb="FFFFFFFF"/>
        <bgColor rgb="FFFFFFCC"/>
      </patternFill>
    </fill>
    <fill>
      <patternFill patternType="solid">
        <fgColor rgb="FFB9CDE5"/>
        <bgColor rgb="FFC0C0C0"/>
      </patternFill>
    </fill>
    <fill>
      <patternFill patternType="solid">
        <fgColor rgb="FF000000"/>
        <bgColor rgb="FF003300"/>
      </patternFill>
    </fill>
  </fills>
  <borders count="14">
    <border diagonalUp="false" diagonalDown="false">
      <left/>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right/>
      <top/>
      <bottom style="medium"/>
      <diagonal/>
    </border>
    <border diagonalUp="false" diagonalDown="false">
      <left style="medium"/>
      <right style="medium"/>
      <top style="medium"/>
      <bottom style="medium"/>
      <diagonal/>
    </border>
    <border diagonalUp="false" diagonalDown="false">
      <left style="medium"/>
      <right/>
      <top style="medium"/>
      <bottom style="medium"/>
      <diagonal/>
    </border>
    <border diagonalUp="false" diagonalDown="false">
      <left style="medium"/>
      <right style="thin"/>
      <top style="medium"/>
      <bottom/>
      <diagonal/>
    </border>
    <border diagonalUp="false" diagonalDown="false">
      <left/>
      <right style="thin"/>
      <top style="medium"/>
      <bottom style="mediu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medium"/>
      <right style="medium"/>
      <top/>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0" borderId="0" applyFont="true" applyBorder="false" applyAlignment="true" applyProtection="false">
      <alignment horizontal="general" vertical="bottom" textRotation="0" wrapText="false" indent="0" shrinkToFit="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top" textRotation="0" wrapText="true" indent="0" shrinkToFit="false"/>
      <protection locked="true" hidden="false"/>
    </xf>
    <xf numFmtId="164" fontId="5" fillId="0" borderId="0" xfId="0" applyFont="true" applyBorder="false" applyAlignment="true" applyProtection="false">
      <alignment horizontal="right" vertical="top" textRotation="0" wrapText="false" indent="0" shrinkToFit="false"/>
      <protection locked="true" hidden="false"/>
    </xf>
    <xf numFmtId="164" fontId="6" fillId="0" borderId="0" xfId="0" applyFont="true" applyBorder="false" applyAlignment="true" applyProtection="false">
      <alignment horizontal="left" vertical="top" textRotation="0" wrapText="true" indent="0" shrinkToFit="false"/>
      <protection locked="true" hidden="false"/>
    </xf>
    <xf numFmtId="164" fontId="7" fillId="0" borderId="0" xfId="0" applyFont="true" applyBorder="false" applyAlignment="true" applyProtection="false">
      <alignment horizontal="left" vertical="top" textRotation="0" wrapText="true" indent="0" shrinkToFit="false"/>
      <protection locked="true" hidden="false"/>
    </xf>
    <xf numFmtId="164" fontId="0" fillId="0" borderId="0" xfId="0" applyFont="true" applyBorder="false" applyAlignment="false" applyProtection="true">
      <alignment horizontal="general" vertical="bottom" textRotation="0" wrapText="false" indent="0" shrinkToFit="false"/>
      <protection locked="true" hidden="true"/>
    </xf>
    <xf numFmtId="164" fontId="5" fillId="2" borderId="0" xfId="0" applyFont="true" applyBorder="false" applyAlignment="true" applyProtection="true">
      <alignment horizontal="general" vertical="top" textRotation="0" wrapText="false" indent="0" shrinkToFit="false"/>
      <protection locked="true" hidden="true"/>
    </xf>
    <xf numFmtId="164" fontId="8" fillId="2" borderId="0" xfId="0" applyFont="true" applyBorder="true" applyAlignment="true" applyProtection="true">
      <alignment horizontal="center" vertical="bottom" textRotation="0" wrapText="false" indent="0" shrinkToFit="false"/>
      <protection locked="true" hidden="true"/>
    </xf>
    <xf numFmtId="164" fontId="0" fillId="2" borderId="0" xfId="0" applyFont="true" applyBorder="false" applyAlignment="false" applyProtection="true">
      <alignment horizontal="general" vertical="bottom" textRotation="0" wrapText="false" indent="0" shrinkToFit="false"/>
      <protection locked="true" hidden="true"/>
    </xf>
    <xf numFmtId="164" fontId="0" fillId="3" borderId="0" xfId="0" applyFont="true" applyBorder="false" applyAlignment="true" applyProtection="true">
      <alignment horizontal="left" vertical="bottom" textRotation="0" wrapText="false" indent="0" shrinkToFit="false"/>
      <protection locked="false" hidden="true"/>
    </xf>
    <xf numFmtId="164" fontId="0" fillId="2" borderId="0" xfId="0" applyFont="true" applyBorder="true" applyAlignment="true" applyProtection="true">
      <alignment horizontal="left" vertical="bottom" textRotation="0" wrapText="false" indent="0" shrinkToFit="false"/>
      <protection locked="true" hidden="true"/>
    </xf>
    <xf numFmtId="165" fontId="0" fillId="3" borderId="0" xfId="0" applyFont="true" applyBorder="false" applyAlignment="true" applyProtection="true">
      <alignment horizontal="left" vertical="bottom" textRotation="0" wrapText="false" indent="0" shrinkToFit="false"/>
      <protection locked="false" hidden="true"/>
    </xf>
    <xf numFmtId="164" fontId="0" fillId="2" borderId="0" xfId="0" applyFont="true" applyBorder="false" applyAlignment="true" applyProtection="true">
      <alignment horizontal="left" vertical="bottom" textRotation="0" wrapText="false" indent="0" shrinkToFit="false"/>
      <protection locked="true" hidden="true"/>
    </xf>
    <xf numFmtId="164" fontId="0" fillId="2" borderId="0" xfId="0" applyFont="true" applyBorder="true" applyAlignment="false" applyProtection="true">
      <alignment horizontal="general" vertical="bottom" textRotation="0" wrapText="false" indent="0" shrinkToFit="false"/>
      <protection locked="true" hidden="true"/>
    </xf>
    <xf numFmtId="166" fontId="0" fillId="2" borderId="0" xfId="0" applyFont="true" applyBorder="true" applyAlignment="true" applyProtection="true">
      <alignment horizontal="left" vertical="bottom" textRotation="0" wrapText="false" indent="0" shrinkToFit="false"/>
      <protection locked="true" hidden="true"/>
    </xf>
    <xf numFmtId="166" fontId="0" fillId="2" borderId="0" xfId="0" applyFont="true" applyBorder="false" applyAlignment="false" applyProtection="true">
      <alignment horizontal="general" vertical="bottom" textRotation="0" wrapText="false" indent="0" shrinkToFit="false"/>
      <protection locked="true" hidden="true"/>
    </xf>
    <xf numFmtId="164" fontId="0" fillId="0" borderId="0" xfId="0" applyFont="false" applyBorder="false" applyAlignment="false" applyProtection="true">
      <alignment horizontal="general" vertical="bottom" textRotation="0" wrapText="false" indent="0" shrinkToFit="false"/>
      <protection locked="true" hidden="true"/>
    </xf>
    <xf numFmtId="164" fontId="0" fillId="2" borderId="1" xfId="0" applyFont="false" applyBorder="true" applyAlignment="false" applyProtection="true">
      <alignment horizontal="general" vertical="bottom" textRotation="0" wrapText="false" indent="0" shrinkToFit="false"/>
      <protection locked="true" hidden="true"/>
    </xf>
    <xf numFmtId="164" fontId="0" fillId="2" borderId="2" xfId="0" applyFont="false" applyBorder="true" applyAlignment="false" applyProtection="true">
      <alignment horizontal="general" vertical="bottom" textRotation="0" wrapText="false" indent="0" shrinkToFit="false"/>
      <protection locked="true" hidden="true"/>
    </xf>
    <xf numFmtId="164" fontId="8" fillId="2" borderId="2" xfId="0" applyFont="true" applyBorder="true" applyAlignment="true" applyProtection="true">
      <alignment horizontal="center" vertical="bottom" textRotation="0" wrapText="false" indent="0" shrinkToFit="false"/>
      <protection locked="true" hidden="true"/>
    </xf>
    <xf numFmtId="164" fontId="5" fillId="2" borderId="3" xfId="0" applyFont="true" applyBorder="true" applyAlignment="true" applyProtection="true">
      <alignment horizontal="right" vertical="top" textRotation="0" wrapText="false" indent="0" shrinkToFit="false"/>
      <protection locked="true" hidden="true"/>
    </xf>
    <xf numFmtId="164" fontId="0" fillId="2" borderId="4" xfId="0" applyFont="false" applyBorder="true" applyAlignment="false" applyProtection="true">
      <alignment horizontal="general" vertical="bottom" textRotation="0" wrapText="false" indent="0" shrinkToFit="false"/>
      <protection locked="true" hidden="true"/>
    </xf>
    <xf numFmtId="164" fontId="0" fillId="2" borderId="0" xfId="0" applyFont="false" applyBorder="true" applyAlignment="false" applyProtection="true">
      <alignment horizontal="general" vertical="bottom" textRotation="0" wrapText="false" indent="0" shrinkToFit="false"/>
      <protection locked="true" hidden="true"/>
    </xf>
    <xf numFmtId="164" fontId="0" fillId="2" borderId="5" xfId="0" applyFont="false" applyBorder="true" applyAlignment="false" applyProtection="true">
      <alignment horizontal="general" vertical="bottom" textRotation="0" wrapText="false" indent="0" shrinkToFit="false"/>
      <protection locked="true" hidden="true"/>
    </xf>
    <xf numFmtId="164" fontId="10" fillId="2" borderId="4" xfId="20" applyFont="false" applyBorder="true" applyAlignment="true" applyProtection="true">
      <alignment horizontal="general" vertical="bottom" textRotation="0" wrapText="false" indent="0" shrinkToFit="false"/>
      <protection locked="true" hidden="true"/>
    </xf>
    <xf numFmtId="167" fontId="0" fillId="2" borderId="0" xfId="0" applyFont="false" applyBorder="true" applyAlignment="true" applyProtection="true">
      <alignment horizontal="general" vertical="bottom" textRotation="0" wrapText="false" indent="0" shrinkToFit="false"/>
      <protection locked="true" hidden="true"/>
    </xf>
    <xf numFmtId="165" fontId="0" fillId="2" borderId="0" xfId="0" applyFont="false" applyBorder="true" applyAlignment="true" applyProtection="true">
      <alignment horizontal="left" vertical="bottom" textRotation="0" wrapText="false" indent="0" shrinkToFit="false"/>
      <protection locked="true" hidden="true"/>
    </xf>
    <xf numFmtId="167" fontId="0" fillId="2" borderId="0" xfId="0" applyFont="false" applyBorder="true" applyAlignment="true" applyProtection="true">
      <alignment horizontal="left" vertical="bottom" textRotation="0" wrapText="false" indent="0" shrinkToFit="false"/>
      <protection locked="true" hidden="true"/>
    </xf>
    <xf numFmtId="168" fontId="0" fillId="2" borderId="0" xfId="0" applyFont="false" applyBorder="true" applyAlignment="true" applyProtection="true">
      <alignment horizontal="general" vertical="bottom" textRotation="0" wrapText="false" indent="0" shrinkToFit="false"/>
      <protection locked="true" hidden="true"/>
    </xf>
    <xf numFmtId="164" fontId="0" fillId="3" borderId="0" xfId="0" applyFont="true" applyBorder="true" applyAlignment="true" applyProtection="true">
      <alignment horizontal="left" vertical="bottom" textRotation="0" wrapText="false" indent="0" shrinkToFit="false"/>
      <protection locked="false" hidden="false"/>
    </xf>
    <xf numFmtId="164" fontId="0" fillId="0" borderId="4" xfId="0" applyFont="true" applyBorder="true" applyAlignment="false" applyProtection="true">
      <alignment horizontal="general" vertical="bottom" textRotation="0" wrapText="false" indent="0" shrinkToFit="false"/>
      <protection locked="true" hidden="true"/>
    </xf>
    <xf numFmtId="164" fontId="0" fillId="0" borderId="0" xfId="0" applyFont="false" applyBorder="true" applyAlignment="false" applyProtection="true">
      <alignment horizontal="general" vertical="bottom" textRotation="0" wrapText="false" indent="0" shrinkToFit="false"/>
      <protection locked="true" hidden="true"/>
    </xf>
    <xf numFmtId="164" fontId="0" fillId="2" borderId="0" xfId="0" applyFont="false" applyBorder="true" applyAlignment="true" applyProtection="true">
      <alignment horizontal="general" vertical="bottom" textRotation="0" wrapText="false" indent="0" shrinkToFit="false"/>
      <protection locked="true" hidden="true"/>
    </xf>
    <xf numFmtId="164" fontId="0" fillId="2" borderId="0" xfId="0" applyFont="false" applyBorder="true" applyAlignment="false" applyProtection="true">
      <alignment horizontal="general" vertical="bottom" textRotation="0" wrapText="false" indent="0" shrinkToFit="false"/>
      <protection locked="false" hidden="true"/>
    </xf>
    <xf numFmtId="164" fontId="0" fillId="2" borderId="6" xfId="0" applyFont="false" applyBorder="true" applyAlignment="false" applyProtection="true">
      <alignment horizontal="general" vertical="bottom" textRotation="0" wrapText="false" indent="0" shrinkToFit="false"/>
      <protection locked="true" hidden="true"/>
    </xf>
    <xf numFmtId="164" fontId="7" fillId="0" borderId="7" xfId="0" applyFont="true" applyBorder="true" applyAlignment="true" applyProtection="true">
      <alignment horizontal="left" vertical="bottom" textRotation="0" wrapText="false" indent="0" shrinkToFit="false"/>
      <protection locked="true" hidden="true"/>
    </xf>
    <xf numFmtId="164" fontId="7" fillId="0" borderId="8" xfId="0" applyFont="true" applyBorder="true" applyAlignment="true" applyProtection="true">
      <alignment horizontal="left" vertical="bottom" textRotation="0" wrapText="false" indent="0" shrinkToFit="false"/>
      <protection locked="true" hidden="true"/>
    </xf>
    <xf numFmtId="164" fontId="7" fillId="0" borderId="9" xfId="0" applyFont="true" applyBorder="true" applyAlignment="true" applyProtection="true">
      <alignment horizontal="center" vertical="bottom" textRotation="0" wrapText="false" indent="0" shrinkToFit="false"/>
      <protection locked="true" hidden="false"/>
    </xf>
    <xf numFmtId="164" fontId="7" fillId="0" borderId="10" xfId="0" applyFont="true" applyBorder="true" applyAlignment="true" applyProtection="true">
      <alignment horizontal="center" vertical="bottom" textRotation="0" wrapText="false" indent="0" shrinkToFit="false"/>
      <protection locked="true" hidden="false"/>
    </xf>
    <xf numFmtId="164" fontId="7" fillId="0" borderId="11" xfId="0" applyFont="true" applyBorder="true" applyAlignment="true" applyProtection="true">
      <alignment horizontal="left" vertical="bottom" textRotation="0" wrapText="false" indent="0" shrinkToFit="false"/>
      <protection locked="true" hidden="false"/>
    </xf>
    <xf numFmtId="164" fontId="7" fillId="0" borderId="11" xfId="0" applyFont="true" applyBorder="true" applyAlignment="true" applyProtection="true">
      <alignment horizontal="center" vertical="bottom" textRotation="0" wrapText="false" indent="0" shrinkToFit="false"/>
      <protection locked="true" hidden="false"/>
    </xf>
    <xf numFmtId="164" fontId="7" fillId="0" borderId="11" xfId="0" applyFont="true" applyBorder="true" applyAlignment="true" applyProtection="true">
      <alignment horizontal="center" vertical="bottom" textRotation="0" wrapText="false" indent="0" shrinkToFit="false"/>
      <protection locked="true" hidden="true"/>
    </xf>
    <xf numFmtId="164" fontId="7" fillId="0" borderId="12" xfId="0" applyFont="true" applyBorder="true" applyAlignment="true" applyProtection="true">
      <alignment horizontal="left" vertical="bottom" textRotation="0" wrapText="true" indent="0" shrinkToFit="false"/>
      <protection locked="true" hidden="false"/>
    </xf>
    <xf numFmtId="164" fontId="0" fillId="0" borderId="2" xfId="0" applyFont="true" applyBorder="true" applyAlignment="true" applyProtection="true">
      <alignment horizontal="left" vertical="bottom" textRotation="0" wrapText="false" indent="0" shrinkToFit="false"/>
      <protection locked="true" hidden="true"/>
    </xf>
    <xf numFmtId="164" fontId="0" fillId="0" borderId="1" xfId="0" applyFont="true" applyBorder="true" applyAlignment="true" applyProtection="true">
      <alignment horizontal="center" vertical="bottom" textRotation="0" wrapText="false" indent="0" shrinkToFit="false"/>
      <protection locked="true" hidden="false"/>
    </xf>
    <xf numFmtId="164" fontId="0" fillId="0" borderId="2" xfId="0" applyFont="true" applyBorder="true" applyAlignment="true" applyProtection="true">
      <alignment horizontal="center" vertical="bottom" textRotation="0" wrapText="false" indent="0" shrinkToFit="false"/>
      <protection locked="true" hidden="false"/>
    </xf>
    <xf numFmtId="164" fontId="0" fillId="0" borderId="2" xfId="0" applyFont="true" applyBorder="true" applyAlignment="true" applyProtection="true">
      <alignment horizontal="left" vertical="bottom" textRotation="0" wrapText="false" indent="0" shrinkToFit="false"/>
      <protection locked="true" hidden="false"/>
    </xf>
    <xf numFmtId="164" fontId="0" fillId="3" borderId="2" xfId="0" applyFont="true" applyBorder="true" applyAlignment="true" applyProtection="true">
      <alignment horizontal="center" vertical="bottom" textRotation="0" wrapText="false" indent="0" shrinkToFit="false"/>
      <protection locked="false" hidden="false"/>
    </xf>
    <xf numFmtId="169" fontId="0" fillId="0" borderId="2" xfId="0" applyFont="true" applyBorder="true" applyAlignment="true" applyProtection="true">
      <alignment horizontal="center" vertical="bottom" textRotation="0" wrapText="false" indent="0" shrinkToFit="false"/>
      <protection locked="true" hidden="false"/>
    </xf>
    <xf numFmtId="169" fontId="0" fillId="3" borderId="2" xfId="0" applyFont="true" applyBorder="true" applyAlignment="true" applyProtection="true">
      <alignment horizontal="center" vertical="bottom" textRotation="0" wrapText="false" indent="0" shrinkToFit="false"/>
      <protection locked="false" hidden="false"/>
    </xf>
    <xf numFmtId="164" fontId="11" fillId="0" borderId="2" xfId="0" applyFont="true" applyBorder="true" applyAlignment="true" applyProtection="true">
      <alignment horizontal="center" vertical="bottom" textRotation="0" wrapText="false" indent="0" shrinkToFit="false"/>
      <protection locked="true" hidden="true"/>
    </xf>
    <xf numFmtId="164" fontId="0" fillId="3" borderId="3" xfId="0" applyFont="true" applyBorder="true" applyAlignment="true" applyProtection="true">
      <alignment horizontal="left" vertical="bottom" textRotation="0" wrapText="tru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true" hidden="true"/>
    </xf>
    <xf numFmtId="164" fontId="0" fillId="0" borderId="0" xfId="0" applyFont="true" applyBorder="true" applyAlignment="true" applyProtection="true">
      <alignment horizontal="left" vertical="bottom" textRotation="0" wrapText="false" indent="0" shrinkToFit="false"/>
      <protection locked="true" hidden="true"/>
    </xf>
    <xf numFmtId="164" fontId="0" fillId="0" borderId="4" xfId="0" applyFont="true" applyBorder="true" applyAlignment="true" applyProtection="true">
      <alignment horizontal="center" vertical="bottom" textRotation="0" wrapText="false" indent="0" shrinkToFit="false"/>
      <protection locked="true" hidden="false"/>
    </xf>
    <xf numFmtId="164" fontId="0" fillId="0" borderId="0" xfId="0" applyFont="true" applyBorder="true" applyAlignment="true" applyProtection="true">
      <alignment horizontal="center" vertical="bottom" textRotation="0" wrapText="false" indent="0" shrinkToFit="false"/>
      <protection locked="true" hidden="false"/>
    </xf>
    <xf numFmtId="164" fontId="0" fillId="0" borderId="0" xfId="0" applyFont="true" applyBorder="true" applyAlignment="true" applyProtection="true">
      <alignment horizontal="left" vertical="bottom" textRotation="0" wrapText="false" indent="0" shrinkToFit="false"/>
      <protection locked="true" hidden="false"/>
    </xf>
    <xf numFmtId="164" fontId="0" fillId="3" borderId="0" xfId="0" applyFont="true" applyBorder="true" applyAlignment="true" applyProtection="true">
      <alignment horizontal="center" vertical="bottom" textRotation="0" wrapText="false" indent="0" shrinkToFit="false"/>
      <protection locked="false" hidden="false"/>
    </xf>
    <xf numFmtId="169" fontId="0" fillId="0" borderId="0" xfId="0" applyFont="true" applyBorder="true" applyAlignment="true" applyProtection="true">
      <alignment horizontal="center" vertical="bottom" textRotation="0" wrapText="false" indent="0" shrinkToFit="false"/>
      <protection locked="true" hidden="false"/>
    </xf>
    <xf numFmtId="169" fontId="0" fillId="3" borderId="0" xfId="0" applyFont="true" applyBorder="true" applyAlignment="true" applyProtection="true">
      <alignment horizontal="center" vertical="bottom" textRotation="0" wrapText="false" indent="0" shrinkToFit="false"/>
      <protection locked="false" hidden="false"/>
    </xf>
    <xf numFmtId="164" fontId="11" fillId="0" borderId="0" xfId="0" applyFont="true" applyBorder="true" applyAlignment="true" applyProtection="true">
      <alignment horizontal="center" vertical="bottom" textRotation="0" wrapText="false" indent="0" shrinkToFit="false"/>
      <protection locked="true" hidden="true"/>
    </xf>
    <xf numFmtId="164" fontId="0" fillId="3" borderId="5" xfId="0" applyFont="true" applyBorder="true" applyAlignment="true" applyProtection="true">
      <alignment horizontal="left" vertical="bottom" textRotation="0" wrapText="true" indent="0" shrinkToFit="false"/>
      <protection locked="false" hidden="false"/>
    </xf>
    <xf numFmtId="164" fontId="0" fillId="0" borderId="0" xfId="0" applyFont="true" applyBorder="true" applyAlignment="true" applyProtection="true">
      <alignment horizontal="left" vertical="bottom" textRotation="0" wrapText="false" indent="3" shrinkToFit="false"/>
      <protection locked="true" hidden="false"/>
    </xf>
    <xf numFmtId="164" fontId="12" fillId="4" borderId="13" xfId="0" applyFont="true" applyBorder="true" applyAlignment="true" applyProtection="true">
      <alignment horizontal="center" vertical="bottom" textRotation="0" wrapText="false" indent="0" shrinkToFit="false"/>
      <protection locked="true" hidden="tru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left" vertical="bottom"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true" applyAlignment="true" applyProtection="false">
      <alignment horizontal="left"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3" shrinkToFit="false"/>
      <protection locked="true" hidden="false"/>
    </xf>
    <xf numFmtId="164" fontId="0" fillId="0" borderId="0"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0" fillId="0" borderId="0" xfId="0" applyFont="true" applyBorder="true" applyAlignment="true" applyProtection="false">
      <alignment horizontal="left" vertical="bottom" textRotation="0" wrapText="false" indent="1"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14"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left"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B9CDE5"/>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C4"/>
  <sheetViews>
    <sheetView windowProtection="false"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A2" activeCellId="0" sqref="A2"/>
    </sheetView>
  </sheetViews>
  <sheetFormatPr defaultRowHeight="15"/>
  <cols>
    <col collapsed="false" hidden="false" max="1" min="1" style="1" width="174.678571428571"/>
    <col collapsed="false" hidden="false" max="1025" min="2" style="1" width="9.04591836734694"/>
  </cols>
  <sheetData>
    <row r="1" customFormat="false" ht="25.5" hidden="false" customHeight="true" outlineLevel="0" collapsed="false">
      <c r="A1" s="2" t="s">
        <v>0</v>
      </c>
      <c r="B1" s="3" t="s">
        <v>1</v>
      </c>
      <c r="C1" s="3" t="s">
        <v>2</v>
      </c>
    </row>
    <row r="2" customFormat="false" ht="228.75" hidden="false" customHeight="false" outlineLevel="0" collapsed="false">
      <c r="A2" s="4" t="s">
        <v>3</v>
      </c>
    </row>
    <row r="3" customFormat="false" ht="160.5" hidden="false" customHeight="true" outlineLevel="0" collapsed="false">
      <c r="A3" s="4" t="s">
        <v>4</v>
      </c>
    </row>
    <row r="4" customFormat="false" ht="144" hidden="false" customHeight="true" outlineLevel="0" collapsed="false">
      <c r="A4" s="4" t="s">
        <v>5</v>
      </c>
    </row>
  </sheetData>
  <sheetProtection sheet="true"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A4"/>
  <sheetViews>
    <sheetView windowProtection="false"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2" activeCellId="0" sqref="A2"/>
    </sheetView>
  </sheetViews>
  <sheetFormatPr defaultRowHeight="15"/>
  <cols>
    <col collapsed="false" hidden="false" max="1" min="1" style="1" width="174.678571428571"/>
    <col collapsed="false" hidden="false" max="1025" min="2" style="1" width="9.04591836734694"/>
  </cols>
  <sheetData>
    <row r="1" customFormat="false" ht="25.5" hidden="false" customHeight="true" outlineLevel="0" collapsed="false">
      <c r="A1" s="2" t="s">
        <v>6</v>
      </c>
    </row>
    <row r="2" customFormat="false" ht="119.25" hidden="false" customHeight="true" outlineLevel="0" collapsed="false">
      <c r="A2" s="4" t="s">
        <v>7</v>
      </c>
    </row>
    <row r="3" customFormat="false" ht="132.75" hidden="false" customHeight="true" outlineLevel="0" collapsed="false">
      <c r="A3" s="4" t="s">
        <v>8</v>
      </c>
    </row>
    <row r="4" customFormat="false" ht="109.5" hidden="false" customHeight="true" outlineLevel="0" collapsed="false">
      <c r="A4" s="4" t="s">
        <v>9</v>
      </c>
    </row>
  </sheetData>
  <sheetProtection sheet="true"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A11"/>
  <sheetViews>
    <sheetView windowProtection="false"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3" activeCellId="0" sqref="A3"/>
    </sheetView>
  </sheetViews>
  <sheetFormatPr defaultRowHeight="15"/>
  <cols>
    <col collapsed="false" hidden="false" max="1" min="1" style="1" width="174.678571428571"/>
    <col collapsed="false" hidden="false" max="1025" min="2" style="1" width="9.04591836734694"/>
  </cols>
  <sheetData>
    <row r="1" customFormat="false" ht="25.5" hidden="false" customHeight="true" outlineLevel="0" collapsed="false">
      <c r="A1" s="2" t="s">
        <v>10</v>
      </c>
    </row>
    <row r="2" customFormat="false" ht="33" hidden="false" customHeight="true" outlineLevel="0" collapsed="false">
      <c r="A2" s="4" t="s">
        <v>11</v>
      </c>
    </row>
    <row r="3" customFormat="false" ht="64.5" hidden="false" customHeight="true" outlineLevel="0" collapsed="false">
      <c r="A3" s="5" t="s">
        <v>12</v>
      </c>
    </row>
    <row r="4" customFormat="false" ht="63.75" hidden="false" customHeight="true" outlineLevel="0" collapsed="false">
      <c r="A4" s="5" t="s">
        <v>13</v>
      </c>
    </row>
    <row r="5" customFormat="false" ht="57" hidden="false" customHeight="true" outlineLevel="0" collapsed="false">
      <c r="A5" s="5" t="s">
        <v>14</v>
      </c>
    </row>
    <row r="6" customFormat="false" ht="57" hidden="false" customHeight="true" outlineLevel="0" collapsed="false">
      <c r="A6" s="5" t="s">
        <v>15</v>
      </c>
    </row>
    <row r="7" customFormat="false" ht="15" hidden="false" customHeight="false" outlineLevel="0" collapsed="false">
      <c r="A7" s="0"/>
    </row>
    <row r="8" customFormat="false" ht="33" hidden="false" customHeight="true" outlineLevel="0" collapsed="false">
      <c r="A8" s="4" t="s">
        <v>16</v>
      </c>
    </row>
    <row r="9" customFormat="false" ht="56.25" hidden="false" customHeight="true" outlineLevel="0" collapsed="false">
      <c r="A9" s="5" t="s">
        <v>17</v>
      </c>
    </row>
    <row r="10" customFormat="false" ht="66" hidden="false" customHeight="true" outlineLevel="0" collapsed="false">
      <c r="A10" s="5" t="s">
        <v>18</v>
      </c>
    </row>
    <row r="11" customFormat="false" ht="90" hidden="false" customHeight="false" outlineLevel="0" collapsed="false">
      <c r="A11" s="5" t="s">
        <v>19</v>
      </c>
    </row>
  </sheetData>
  <sheetProtection sheet="true"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W41"/>
  <sheetViews>
    <sheetView windowProtection="false"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6" activeCellId="0" sqref="B6"/>
    </sheetView>
  </sheetViews>
  <sheetFormatPr defaultRowHeight="15"/>
  <cols>
    <col collapsed="false" hidden="false" max="1" min="1" style="6" width="17.6836734693878"/>
    <col collapsed="false" hidden="false" max="2" min="2" style="6" width="38.2040816326531"/>
    <col collapsed="false" hidden="false" max="6" min="3" style="6" width="9.04591836734694"/>
    <col collapsed="false" hidden="false" max="7" min="7" style="6" width="38.8775510204082"/>
    <col collapsed="false" hidden="false" max="8" min="8" style="6" width="11.6071428571429"/>
    <col collapsed="false" hidden="false" max="9" min="9" style="6" width="9.04591836734694"/>
    <col collapsed="false" hidden="false" max="10" min="10" style="6" width="18.2244897959184"/>
    <col collapsed="false" hidden="false" max="1025" min="11" style="6" width="9.04591836734694"/>
  </cols>
  <sheetData>
    <row r="1" customFormat="false" ht="26.25" hidden="false" customHeight="false" outlineLevel="0" collapsed="false">
      <c r="A1" s="7" t="str">
        <f aca="false">Information!B1</f>
        <v>v2.2.6</v>
      </c>
      <c r="B1" s="8" t="s">
        <v>20</v>
      </c>
      <c r="C1" s="8"/>
      <c r="D1" s="8"/>
      <c r="E1" s="8"/>
      <c r="F1" s="8"/>
      <c r="G1" s="8"/>
      <c r="H1" s="9"/>
      <c r="I1" s="9"/>
      <c r="J1" s="9"/>
      <c r="K1" s="9"/>
      <c r="L1" s="9"/>
      <c r="M1" s="9"/>
      <c r="N1" s="9"/>
      <c r="O1" s="9"/>
      <c r="P1" s="9"/>
      <c r="Q1" s="9"/>
      <c r="R1" s="9"/>
      <c r="S1" s="9"/>
      <c r="T1" s="9"/>
      <c r="U1" s="9"/>
      <c r="V1" s="9"/>
      <c r="W1" s="9"/>
    </row>
    <row r="2" customFormat="false" ht="15" hidden="false" customHeight="false" outlineLevel="0" collapsed="false">
      <c r="A2" s="9"/>
      <c r="B2" s="9"/>
      <c r="C2" s="9"/>
      <c r="D2" s="9"/>
      <c r="E2" s="9"/>
      <c r="F2" s="9"/>
      <c r="G2" s="9"/>
      <c r="H2" s="9"/>
      <c r="I2" s="9"/>
      <c r="J2" s="9"/>
      <c r="K2" s="9"/>
      <c r="L2" s="9"/>
      <c r="M2" s="9"/>
      <c r="N2" s="9"/>
      <c r="O2" s="9"/>
      <c r="P2" s="9"/>
      <c r="Q2" s="9"/>
      <c r="R2" s="9"/>
      <c r="S2" s="9"/>
      <c r="T2" s="9"/>
      <c r="U2" s="9"/>
      <c r="V2" s="9"/>
      <c r="W2" s="9"/>
    </row>
    <row r="3" customFormat="false" ht="15" hidden="false" customHeight="false" outlineLevel="0" collapsed="false">
      <c r="A3" s="9"/>
      <c r="B3" s="9"/>
      <c r="C3" s="9"/>
      <c r="D3" s="9"/>
      <c r="E3" s="9"/>
      <c r="F3" s="9"/>
      <c r="G3" s="9"/>
      <c r="H3" s="9"/>
      <c r="I3" s="9"/>
      <c r="J3" s="9"/>
      <c r="K3" s="9"/>
      <c r="L3" s="9"/>
      <c r="M3" s="9"/>
      <c r="N3" s="9"/>
      <c r="O3" s="9"/>
      <c r="P3" s="9"/>
      <c r="Q3" s="9"/>
      <c r="R3" s="9"/>
      <c r="S3" s="9"/>
      <c r="T3" s="9"/>
      <c r="U3" s="9"/>
      <c r="V3" s="9"/>
      <c r="W3" s="9"/>
    </row>
    <row r="4" customFormat="false" ht="15" hidden="false" customHeight="false" outlineLevel="0" collapsed="false">
      <c r="A4" s="9" t="s">
        <v>21</v>
      </c>
      <c r="B4" s="10" t="s">
        <v>22</v>
      </c>
      <c r="C4" s="9"/>
      <c r="D4" s="11" t="s">
        <v>23</v>
      </c>
      <c r="E4" s="11"/>
      <c r="F4" s="11"/>
      <c r="G4" s="12" t="n">
        <v>42370</v>
      </c>
      <c r="H4" s="9"/>
      <c r="I4" s="9"/>
      <c r="J4" s="9"/>
      <c r="K4" s="9"/>
      <c r="L4" s="9"/>
      <c r="M4" s="9"/>
      <c r="N4" s="9"/>
      <c r="O4" s="9"/>
      <c r="P4" s="9"/>
      <c r="Q4" s="9"/>
      <c r="R4" s="9"/>
      <c r="S4" s="9"/>
      <c r="T4" s="9"/>
      <c r="U4" s="9"/>
      <c r="V4" s="9"/>
      <c r="W4" s="9"/>
    </row>
    <row r="5" customFormat="false" ht="15" hidden="false" customHeight="false" outlineLevel="0" collapsed="false">
      <c r="A5" s="9" t="s">
        <v>24</v>
      </c>
      <c r="B5" s="10" t="n">
        <v>306182904</v>
      </c>
      <c r="C5" s="9"/>
      <c r="D5" s="9" t="s">
        <v>25</v>
      </c>
      <c r="E5" s="9"/>
      <c r="F5" s="9"/>
      <c r="G5" s="10" t="s">
        <v>26</v>
      </c>
      <c r="H5" s="9"/>
      <c r="I5" s="9"/>
      <c r="J5" s="9"/>
      <c r="K5" s="9"/>
      <c r="L5" s="9"/>
      <c r="M5" s="9"/>
      <c r="N5" s="9"/>
      <c r="O5" s="9"/>
      <c r="P5" s="9"/>
      <c r="Q5" s="9"/>
      <c r="R5" s="9"/>
      <c r="S5" s="9"/>
      <c r="T5" s="9"/>
      <c r="U5" s="9"/>
      <c r="V5" s="9"/>
      <c r="W5" s="9"/>
    </row>
    <row r="6" customFormat="false" ht="15" hidden="false" customHeight="false" outlineLevel="0" collapsed="false">
      <c r="A6" s="9"/>
      <c r="B6" s="13"/>
      <c r="C6" s="9"/>
      <c r="D6" s="9"/>
      <c r="E6" s="9"/>
      <c r="F6" s="9"/>
      <c r="G6" s="9"/>
      <c r="H6" s="9"/>
      <c r="I6" s="9"/>
      <c r="J6" s="9"/>
      <c r="K6" s="9"/>
      <c r="L6" s="9"/>
      <c r="M6" s="9"/>
      <c r="N6" s="9"/>
      <c r="O6" s="9"/>
      <c r="P6" s="9"/>
      <c r="Q6" s="9"/>
      <c r="R6" s="9"/>
      <c r="S6" s="9"/>
      <c r="T6" s="9"/>
      <c r="U6" s="9"/>
      <c r="V6" s="9"/>
      <c r="W6" s="9"/>
    </row>
    <row r="7" customFormat="false" ht="15" hidden="false" customHeight="false" outlineLevel="0" collapsed="false">
      <c r="A7" s="6" t="s">
        <v>27</v>
      </c>
      <c r="B7" s="10" t="s">
        <v>28</v>
      </c>
      <c r="C7" s="9"/>
      <c r="D7" s="9"/>
      <c r="E7" s="9"/>
      <c r="F7" s="9"/>
      <c r="G7" s="9"/>
      <c r="H7" s="9"/>
      <c r="I7" s="9"/>
      <c r="J7" s="9"/>
      <c r="K7" s="9"/>
      <c r="L7" s="9"/>
      <c r="M7" s="9"/>
      <c r="N7" s="9"/>
      <c r="O7" s="9"/>
      <c r="P7" s="9"/>
      <c r="Q7" s="9"/>
      <c r="R7" s="9"/>
      <c r="S7" s="9"/>
      <c r="T7" s="9"/>
      <c r="U7" s="9"/>
      <c r="V7" s="9"/>
      <c r="W7" s="9"/>
    </row>
    <row r="8" customFormat="false" ht="15" hidden="false" customHeight="false" outlineLevel="0" collapsed="false">
      <c r="A8" s="9" t="s">
        <v>29</v>
      </c>
      <c r="B8" s="10"/>
      <c r="C8" s="9"/>
      <c r="D8" s="9" t="s">
        <v>30</v>
      </c>
      <c r="E8" s="9"/>
      <c r="F8" s="9"/>
      <c r="G8" s="9" t="str">
        <f aca="false">Information!C1</f>
        <v>Full-time</v>
      </c>
      <c r="H8" s="9"/>
      <c r="I8" s="9"/>
      <c r="J8" s="9"/>
      <c r="K8" s="9"/>
      <c r="L8" s="9"/>
      <c r="M8" s="9"/>
      <c r="N8" s="9"/>
      <c r="O8" s="9"/>
      <c r="P8" s="9"/>
      <c r="Q8" s="9"/>
      <c r="R8" s="9"/>
      <c r="S8" s="9"/>
      <c r="T8" s="9"/>
      <c r="U8" s="9"/>
      <c r="V8" s="9"/>
      <c r="W8" s="9"/>
    </row>
    <row r="9" customFormat="false" ht="15" hidden="false" customHeight="false" outlineLevel="0" collapsed="false">
      <c r="A9" s="9" t="s">
        <v>31</v>
      </c>
      <c r="B9" s="10" t="s">
        <v>32</v>
      </c>
      <c r="C9" s="9"/>
      <c r="D9" s="9"/>
      <c r="E9" s="9"/>
      <c r="F9" s="9"/>
      <c r="G9" s="9"/>
      <c r="H9" s="9"/>
      <c r="I9" s="9"/>
      <c r="J9" s="9"/>
      <c r="K9" s="9"/>
      <c r="L9" s="9"/>
      <c r="M9" s="9"/>
      <c r="N9" s="9"/>
      <c r="O9" s="9"/>
      <c r="P9" s="9"/>
      <c r="Q9" s="9"/>
      <c r="R9" s="9"/>
      <c r="S9" s="9"/>
      <c r="T9" s="9"/>
      <c r="U9" s="9"/>
      <c r="V9" s="9"/>
      <c r="W9" s="9"/>
    </row>
    <row r="10" customFormat="false" ht="15" hidden="false" customHeight="false" outlineLevel="0" collapsed="false">
      <c r="A10" s="9"/>
      <c r="B10" s="9"/>
      <c r="C10" s="9"/>
      <c r="D10" s="9"/>
      <c r="E10" s="9"/>
      <c r="F10" s="9"/>
      <c r="G10" s="9"/>
      <c r="H10" s="9"/>
      <c r="I10" s="9"/>
      <c r="J10" s="9"/>
      <c r="K10" s="9"/>
      <c r="L10" s="9"/>
      <c r="M10" s="9"/>
      <c r="N10" s="9"/>
      <c r="O10" s="9"/>
      <c r="P10" s="9"/>
      <c r="Q10" s="9"/>
      <c r="R10" s="9"/>
      <c r="S10" s="9"/>
      <c r="T10" s="9"/>
      <c r="U10" s="9"/>
      <c r="V10" s="9"/>
      <c r="W10" s="9"/>
    </row>
    <row r="11" customFormat="false" ht="15" hidden="false" customHeight="false" outlineLevel="0" collapsed="false">
      <c r="A11" s="9"/>
      <c r="B11" s="9"/>
      <c r="C11" s="9"/>
      <c r="D11" s="9"/>
      <c r="E11" s="9"/>
      <c r="F11" s="9"/>
      <c r="G11" s="9"/>
      <c r="H11" s="9"/>
      <c r="I11" s="9"/>
      <c r="J11" s="9"/>
      <c r="K11" s="9"/>
      <c r="L11" s="9"/>
      <c r="M11" s="9"/>
      <c r="N11" s="9"/>
      <c r="O11" s="9"/>
      <c r="P11" s="9"/>
      <c r="Q11" s="9"/>
      <c r="R11" s="9"/>
      <c r="S11" s="9"/>
      <c r="T11" s="9"/>
      <c r="U11" s="9"/>
      <c r="V11" s="9"/>
      <c r="W11" s="9"/>
    </row>
    <row r="12" customFormat="false" ht="15" hidden="false" customHeight="false" outlineLevel="0" collapsed="false">
      <c r="A12" s="9"/>
      <c r="B12" s="9"/>
      <c r="C12" s="9"/>
      <c r="D12" s="9"/>
      <c r="E12" s="9"/>
      <c r="F12" s="9"/>
      <c r="G12" s="9"/>
      <c r="H12" s="9"/>
      <c r="I12" s="9"/>
      <c r="J12" s="9"/>
      <c r="K12" s="9"/>
      <c r="L12" s="9"/>
      <c r="M12" s="9"/>
      <c r="N12" s="9"/>
      <c r="O12" s="9"/>
      <c r="P12" s="9"/>
      <c r="Q12" s="9"/>
      <c r="R12" s="9"/>
      <c r="S12" s="9"/>
      <c r="T12" s="9"/>
      <c r="U12" s="9"/>
      <c r="V12" s="9"/>
      <c r="W12" s="9"/>
    </row>
    <row r="13" customFormat="false" ht="15" hidden="false" customHeight="false" outlineLevel="0" collapsed="false">
      <c r="A13" s="9"/>
      <c r="B13" s="9"/>
      <c r="C13" s="9"/>
      <c r="D13" s="9"/>
      <c r="E13" s="9"/>
      <c r="F13" s="9"/>
      <c r="G13" s="9"/>
      <c r="H13" s="9"/>
      <c r="I13" s="9"/>
      <c r="J13" s="9"/>
      <c r="K13" s="9"/>
      <c r="L13" s="9"/>
      <c r="M13" s="9"/>
      <c r="N13" s="9"/>
      <c r="O13" s="9"/>
      <c r="P13" s="9"/>
      <c r="Q13" s="9"/>
      <c r="R13" s="9"/>
      <c r="S13" s="9"/>
      <c r="T13" s="9"/>
      <c r="U13" s="9"/>
      <c r="V13" s="9"/>
      <c r="W13" s="9"/>
    </row>
    <row r="14" customFormat="false" ht="15" hidden="false" customHeight="false" outlineLevel="0" collapsed="false">
      <c r="A14" s="9"/>
      <c r="B14" s="9"/>
      <c r="C14" s="9"/>
      <c r="D14" s="9"/>
      <c r="E14" s="9"/>
      <c r="F14" s="9"/>
      <c r="G14" s="9"/>
      <c r="H14" s="9"/>
      <c r="I14" s="9"/>
      <c r="J14" s="9"/>
      <c r="K14" s="9"/>
      <c r="L14" s="9"/>
      <c r="M14" s="9"/>
      <c r="N14" s="9"/>
      <c r="O14" s="9"/>
      <c r="P14" s="9"/>
      <c r="Q14" s="9"/>
      <c r="R14" s="9"/>
      <c r="S14" s="9"/>
      <c r="T14" s="9"/>
      <c r="U14" s="9"/>
      <c r="V14" s="9"/>
      <c r="W14" s="9"/>
    </row>
    <row r="15" customFormat="false" ht="15" hidden="false" customHeight="false" outlineLevel="0" collapsed="false">
      <c r="A15" s="9"/>
      <c r="B15" s="9"/>
      <c r="C15" s="9"/>
      <c r="D15" s="9"/>
      <c r="E15" s="9"/>
      <c r="F15" s="9"/>
      <c r="G15" s="9"/>
      <c r="H15" s="9"/>
      <c r="I15" s="9"/>
      <c r="J15" s="9"/>
      <c r="K15" s="9"/>
      <c r="L15" s="9"/>
      <c r="M15" s="9"/>
      <c r="N15" s="9"/>
      <c r="O15" s="9"/>
      <c r="P15" s="9"/>
      <c r="Q15" s="9"/>
      <c r="R15" s="9"/>
      <c r="S15" s="9"/>
      <c r="T15" s="9"/>
      <c r="U15" s="9"/>
      <c r="V15" s="9"/>
      <c r="W15" s="9"/>
    </row>
    <row r="16" customFormat="false" ht="15" hidden="false" customHeight="false" outlineLevel="0" collapsed="false">
      <c r="A16" s="9"/>
      <c r="B16" s="9"/>
      <c r="C16" s="9"/>
      <c r="D16" s="9"/>
      <c r="E16" s="9"/>
      <c r="F16" s="9"/>
      <c r="G16" s="9"/>
      <c r="H16" s="9"/>
      <c r="I16" s="9"/>
      <c r="J16" s="9"/>
      <c r="K16" s="9"/>
      <c r="L16" s="9"/>
      <c r="M16" s="9"/>
      <c r="N16" s="9"/>
      <c r="O16" s="9"/>
      <c r="P16" s="9"/>
      <c r="Q16" s="9"/>
      <c r="R16" s="9"/>
      <c r="S16" s="9"/>
      <c r="T16" s="9"/>
      <c r="U16" s="9"/>
      <c r="V16" s="9"/>
      <c r="W16" s="9"/>
    </row>
    <row r="17" customFormat="false" ht="15" hidden="false" customHeight="false" outlineLevel="0" collapsed="false">
      <c r="A17" s="9"/>
      <c r="B17" s="9"/>
      <c r="C17" s="9"/>
      <c r="D17" s="9"/>
      <c r="E17" s="9"/>
      <c r="F17" s="9"/>
      <c r="G17" s="9"/>
      <c r="H17" s="9"/>
      <c r="I17" s="9"/>
      <c r="J17" s="9"/>
      <c r="K17" s="9"/>
      <c r="L17" s="9"/>
      <c r="M17" s="9"/>
      <c r="N17" s="9"/>
      <c r="O17" s="9"/>
      <c r="P17" s="9"/>
      <c r="Q17" s="9"/>
      <c r="R17" s="9"/>
      <c r="S17" s="9"/>
      <c r="T17" s="9"/>
      <c r="U17" s="9"/>
      <c r="V17" s="9"/>
      <c r="W17" s="9"/>
    </row>
    <row r="18" customFormat="false" ht="15" hidden="false" customHeight="false" outlineLevel="0" collapsed="false">
      <c r="A18" s="9"/>
      <c r="B18" s="9"/>
      <c r="C18" s="9"/>
      <c r="D18" s="9"/>
      <c r="E18" s="9"/>
      <c r="F18" s="9"/>
      <c r="G18" s="9"/>
      <c r="H18" s="9"/>
      <c r="I18" s="9"/>
      <c r="J18" s="9"/>
      <c r="K18" s="9"/>
      <c r="L18" s="9"/>
      <c r="M18" s="9"/>
      <c r="N18" s="9"/>
      <c r="O18" s="9"/>
      <c r="P18" s="9"/>
      <c r="Q18" s="9"/>
      <c r="R18" s="9"/>
      <c r="S18" s="9"/>
      <c r="T18" s="9"/>
      <c r="U18" s="9"/>
      <c r="V18" s="9"/>
      <c r="W18" s="9"/>
    </row>
    <row r="19" customFormat="false" ht="15" hidden="false" customHeight="false" outlineLevel="0" collapsed="false">
      <c r="A19" s="9"/>
      <c r="B19" s="9"/>
      <c r="C19" s="9"/>
      <c r="D19" s="9"/>
      <c r="E19" s="9"/>
      <c r="F19" s="9"/>
      <c r="G19" s="9"/>
      <c r="H19" s="9"/>
      <c r="I19" s="9"/>
      <c r="J19" s="9"/>
      <c r="K19" s="9"/>
      <c r="L19" s="9"/>
      <c r="M19" s="9"/>
      <c r="N19" s="9"/>
      <c r="O19" s="9"/>
      <c r="P19" s="9"/>
      <c r="Q19" s="9"/>
      <c r="R19" s="9"/>
      <c r="S19" s="9"/>
      <c r="T19" s="9"/>
      <c r="U19" s="9"/>
      <c r="V19" s="9"/>
      <c r="W19" s="9"/>
    </row>
    <row r="20" customFormat="false" ht="15" hidden="false" customHeight="false" outlineLevel="0" collapsed="false">
      <c r="A20" s="9"/>
      <c r="B20" s="9"/>
      <c r="C20" s="9"/>
      <c r="D20" s="9"/>
      <c r="E20" s="9"/>
      <c r="F20" s="9"/>
      <c r="G20" s="9"/>
      <c r="H20" s="9"/>
      <c r="I20" s="9"/>
      <c r="J20" s="9"/>
      <c r="K20" s="9"/>
      <c r="L20" s="9"/>
      <c r="M20" s="9"/>
      <c r="N20" s="9"/>
      <c r="O20" s="9"/>
      <c r="P20" s="9"/>
      <c r="Q20" s="9"/>
      <c r="R20" s="9"/>
      <c r="S20" s="9"/>
      <c r="T20" s="9"/>
      <c r="U20" s="9"/>
      <c r="V20" s="9"/>
      <c r="W20" s="9"/>
    </row>
    <row r="21" customFormat="false" ht="15" hidden="false" customHeight="false" outlineLevel="0" collapsed="false">
      <c r="A21" s="9"/>
      <c r="B21" s="9"/>
      <c r="C21" s="9"/>
      <c r="D21" s="9"/>
      <c r="E21" s="9"/>
      <c r="F21" s="9"/>
      <c r="G21" s="9"/>
      <c r="H21" s="9"/>
      <c r="I21" s="9"/>
      <c r="J21" s="9"/>
      <c r="K21" s="9"/>
      <c r="L21" s="9"/>
      <c r="M21" s="9"/>
      <c r="N21" s="9"/>
      <c r="O21" s="9"/>
      <c r="P21" s="9"/>
      <c r="Q21" s="9"/>
      <c r="R21" s="9"/>
      <c r="S21" s="9"/>
      <c r="T21" s="9"/>
      <c r="U21" s="9"/>
      <c r="V21" s="9"/>
      <c r="W21" s="9"/>
    </row>
    <row r="22" customFormat="false" ht="15" hidden="false" customHeight="false" outlineLevel="0" collapsed="false">
      <c r="A22" s="9"/>
      <c r="B22" s="9"/>
      <c r="C22" s="9"/>
      <c r="D22" s="9"/>
      <c r="E22" s="9"/>
      <c r="F22" s="9"/>
      <c r="G22" s="9"/>
      <c r="H22" s="9"/>
      <c r="I22" s="9"/>
      <c r="J22" s="9"/>
      <c r="K22" s="9"/>
      <c r="L22" s="9"/>
      <c r="M22" s="9"/>
      <c r="N22" s="9"/>
      <c r="O22" s="9"/>
      <c r="P22" s="9"/>
      <c r="Q22" s="9"/>
      <c r="R22" s="9"/>
      <c r="S22" s="9"/>
      <c r="T22" s="9"/>
      <c r="U22" s="9"/>
      <c r="V22" s="9"/>
      <c r="W22" s="9"/>
    </row>
    <row r="23" customFormat="false" ht="15" hidden="false" customHeight="false" outlineLevel="0" collapsed="false">
      <c r="A23" s="9"/>
      <c r="B23" s="9"/>
      <c r="C23" s="9"/>
      <c r="D23" s="9"/>
      <c r="E23" s="9"/>
      <c r="F23" s="9"/>
      <c r="G23" s="9"/>
      <c r="H23" s="9"/>
      <c r="I23" s="9"/>
      <c r="J23" s="9"/>
      <c r="K23" s="9"/>
      <c r="L23" s="9"/>
      <c r="M23" s="9"/>
      <c r="N23" s="9"/>
      <c r="O23" s="9"/>
      <c r="P23" s="9"/>
      <c r="Q23" s="9"/>
      <c r="R23" s="9"/>
      <c r="S23" s="9"/>
      <c r="T23" s="9"/>
      <c r="U23" s="9"/>
      <c r="V23" s="9"/>
      <c r="W23" s="9"/>
    </row>
    <row r="24" customFormat="false" ht="15" hidden="false" customHeight="false" outlineLevel="0" collapsed="false">
      <c r="A24" s="9"/>
      <c r="B24" s="9"/>
      <c r="C24" s="9"/>
      <c r="D24" s="9"/>
      <c r="E24" s="9"/>
      <c r="F24" s="9"/>
      <c r="G24" s="9"/>
      <c r="H24" s="9"/>
      <c r="I24" s="9"/>
      <c r="J24" s="9"/>
      <c r="K24" s="9"/>
      <c r="L24" s="9"/>
      <c r="M24" s="9"/>
      <c r="N24" s="9"/>
      <c r="O24" s="9"/>
      <c r="P24" s="9"/>
      <c r="Q24" s="9"/>
      <c r="R24" s="9"/>
      <c r="S24" s="9"/>
      <c r="T24" s="9"/>
      <c r="U24" s="9"/>
      <c r="V24" s="9"/>
      <c r="W24" s="9"/>
    </row>
    <row r="25" customFormat="false" ht="15" hidden="false" customHeight="false" outlineLevel="0" collapsed="false">
      <c r="A25" s="9"/>
      <c r="B25" s="9"/>
      <c r="C25" s="9"/>
      <c r="D25" s="9"/>
      <c r="E25" s="9"/>
      <c r="F25" s="9"/>
      <c r="G25" s="9"/>
      <c r="H25" s="9"/>
      <c r="I25" s="9"/>
      <c r="J25" s="9"/>
      <c r="K25" s="9"/>
      <c r="L25" s="9"/>
      <c r="M25" s="9"/>
      <c r="N25" s="9"/>
      <c r="O25" s="9"/>
      <c r="P25" s="9"/>
      <c r="Q25" s="9"/>
      <c r="R25" s="9"/>
      <c r="S25" s="9"/>
      <c r="T25" s="9"/>
      <c r="U25" s="9"/>
      <c r="V25" s="9"/>
      <c r="W25" s="9"/>
    </row>
    <row r="26" customFormat="false" ht="15" hidden="false" customHeight="false" outlineLevel="0" collapsed="false">
      <c r="A26" s="9"/>
      <c r="B26" s="9"/>
      <c r="C26" s="9"/>
      <c r="D26" s="9"/>
      <c r="E26" s="9"/>
      <c r="F26" s="9"/>
      <c r="G26" s="9"/>
      <c r="H26" s="9"/>
      <c r="I26" s="9"/>
      <c r="J26" s="9"/>
      <c r="K26" s="9"/>
      <c r="L26" s="9"/>
      <c r="M26" s="9"/>
      <c r="N26" s="9"/>
      <c r="O26" s="9"/>
      <c r="P26" s="9"/>
      <c r="Q26" s="9"/>
      <c r="R26" s="9"/>
      <c r="S26" s="9"/>
      <c r="T26" s="9"/>
      <c r="U26" s="9"/>
      <c r="V26" s="9"/>
      <c r="W26" s="9"/>
    </row>
    <row r="27" customFormat="false" ht="15" hidden="false" customHeight="false" outlineLevel="0" collapsed="false">
      <c r="A27" s="9"/>
      <c r="B27" s="9"/>
      <c r="C27" s="9"/>
      <c r="D27" s="9"/>
      <c r="E27" s="9"/>
      <c r="F27" s="9"/>
      <c r="G27" s="9"/>
      <c r="H27" s="9"/>
      <c r="I27" s="9"/>
      <c r="J27" s="9"/>
      <c r="K27" s="9"/>
      <c r="L27" s="9"/>
      <c r="M27" s="9"/>
      <c r="N27" s="9"/>
      <c r="O27" s="9"/>
      <c r="P27" s="9"/>
      <c r="Q27" s="9"/>
      <c r="R27" s="9"/>
      <c r="S27" s="9"/>
      <c r="T27" s="9"/>
      <c r="U27" s="9"/>
      <c r="V27" s="9"/>
      <c r="W27" s="9"/>
    </row>
    <row r="28" customFormat="false" ht="15" hidden="false" customHeight="false" outlineLevel="0" collapsed="false">
      <c r="A28" s="9"/>
      <c r="B28" s="9"/>
      <c r="C28" s="14"/>
      <c r="D28" s="14"/>
      <c r="E28" s="14"/>
      <c r="F28" s="15"/>
      <c r="G28" s="15"/>
      <c r="H28" s="9"/>
      <c r="I28" s="9"/>
      <c r="J28" s="9"/>
      <c r="K28" s="9"/>
      <c r="L28" s="9"/>
      <c r="M28" s="9"/>
      <c r="N28" s="9"/>
      <c r="O28" s="9"/>
      <c r="P28" s="9"/>
      <c r="Q28" s="9"/>
      <c r="R28" s="9"/>
      <c r="S28" s="9"/>
      <c r="T28" s="9"/>
      <c r="U28" s="9"/>
      <c r="V28" s="9"/>
      <c r="W28" s="9"/>
    </row>
    <row r="29" customFormat="false" ht="15" hidden="false" customHeight="false" outlineLevel="0" collapsed="false">
      <c r="A29" s="9"/>
      <c r="B29" s="9"/>
      <c r="C29" s="9"/>
      <c r="D29" s="9"/>
      <c r="E29" s="9"/>
      <c r="F29" s="16"/>
      <c r="G29" s="9"/>
      <c r="H29" s="9"/>
      <c r="I29" s="9"/>
      <c r="J29" s="9"/>
      <c r="K29" s="9"/>
      <c r="L29" s="9"/>
      <c r="M29" s="9"/>
      <c r="N29" s="9"/>
      <c r="O29" s="9"/>
      <c r="P29" s="9"/>
      <c r="Q29" s="9"/>
      <c r="R29" s="9"/>
      <c r="S29" s="9"/>
      <c r="T29" s="9"/>
      <c r="U29" s="9"/>
      <c r="V29" s="9"/>
      <c r="W29" s="9"/>
    </row>
    <row r="30" customFormat="false" ht="15" hidden="false" customHeight="false" outlineLevel="0" collapsed="false">
      <c r="A30" s="9"/>
      <c r="B30" s="9"/>
      <c r="C30" s="9"/>
      <c r="D30" s="9"/>
      <c r="E30" s="9"/>
      <c r="F30" s="16"/>
      <c r="G30" s="9"/>
      <c r="H30" s="9"/>
      <c r="I30" s="9"/>
      <c r="J30" s="9"/>
      <c r="K30" s="9"/>
      <c r="L30" s="9"/>
      <c r="M30" s="9"/>
      <c r="N30" s="9"/>
      <c r="O30" s="9"/>
      <c r="P30" s="9"/>
      <c r="Q30" s="9"/>
      <c r="R30" s="9"/>
      <c r="S30" s="9"/>
      <c r="T30" s="9"/>
      <c r="U30" s="9"/>
      <c r="V30" s="9"/>
      <c r="W30" s="9"/>
    </row>
    <row r="31" customFormat="false" ht="15" hidden="false" customHeight="false" outlineLevel="0" collapsed="false">
      <c r="A31" s="9"/>
      <c r="B31" s="9"/>
      <c r="C31" s="9"/>
      <c r="D31" s="9"/>
      <c r="E31" s="9"/>
      <c r="F31" s="9"/>
      <c r="G31" s="9"/>
      <c r="H31" s="9"/>
      <c r="I31" s="9"/>
      <c r="J31" s="9"/>
      <c r="K31" s="9"/>
      <c r="L31" s="9"/>
      <c r="M31" s="9"/>
      <c r="N31" s="9"/>
      <c r="O31" s="9"/>
      <c r="P31" s="9"/>
      <c r="Q31" s="9"/>
      <c r="R31" s="9"/>
      <c r="S31" s="9"/>
      <c r="T31" s="9"/>
      <c r="U31" s="9"/>
      <c r="V31" s="9"/>
      <c r="W31" s="9"/>
    </row>
    <row r="32" customFormat="false" ht="15" hidden="false" customHeight="false" outlineLevel="0" collapsed="false">
      <c r="A32" s="9"/>
      <c r="B32" s="9"/>
      <c r="C32" s="9"/>
      <c r="D32" s="9"/>
      <c r="E32" s="9"/>
      <c r="F32" s="9"/>
      <c r="G32" s="9"/>
      <c r="H32" s="9"/>
      <c r="I32" s="9"/>
      <c r="J32" s="9"/>
      <c r="K32" s="9"/>
      <c r="L32" s="9"/>
      <c r="M32" s="9"/>
      <c r="N32" s="9"/>
      <c r="O32" s="9"/>
      <c r="P32" s="9"/>
      <c r="Q32" s="9"/>
      <c r="R32" s="9"/>
      <c r="S32" s="9"/>
      <c r="T32" s="9"/>
      <c r="U32" s="9"/>
      <c r="V32" s="9"/>
      <c r="W32" s="9"/>
    </row>
    <row r="33" customFormat="false" ht="15" hidden="false" customHeight="false" outlineLevel="0" collapsed="false">
      <c r="A33" s="9"/>
      <c r="B33" s="9"/>
      <c r="C33" s="9"/>
      <c r="D33" s="9"/>
      <c r="E33" s="9"/>
      <c r="F33" s="9"/>
      <c r="G33" s="9"/>
      <c r="H33" s="9"/>
      <c r="I33" s="9"/>
      <c r="J33" s="9"/>
      <c r="K33" s="9"/>
      <c r="L33" s="9"/>
      <c r="M33" s="9"/>
      <c r="N33" s="9"/>
      <c r="O33" s="9"/>
      <c r="P33" s="9"/>
      <c r="Q33" s="9"/>
      <c r="R33" s="9"/>
      <c r="S33" s="9"/>
      <c r="T33" s="9"/>
      <c r="U33" s="9"/>
      <c r="V33" s="9"/>
      <c r="W33" s="9"/>
    </row>
    <row r="34" customFormat="false" ht="15" hidden="false" customHeight="false" outlineLevel="0" collapsed="false">
      <c r="A34" s="9"/>
      <c r="B34" s="9"/>
      <c r="C34" s="9"/>
      <c r="D34" s="9"/>
      <c r="E34" s="9"/>
      <c r="F34" s="9"/>
      <c r="G34" s="9"/>
      <c r="H34" s="9"/>
      <c r="I34" s="9"/>
      <c r="J34" s="9"/>
      <c r="K34" s="9"/>
      <c r="L34" s="9"/>
      <c r="M34" s="9"/>
      <c r="N34" s="9"/>
      <c r="O34" s="9"/>
      <c r="P34" s="9"/>
      <c r="Q34" s="9"/>
      <c r="R34" s="9"/>
      <c r="S34" s="9"/>
      <c r="T34" s="9"/>
      <c r="U34" s="9"/>
      <c r="V34" s="9"/>
      <c r="W34" s="9"/>
    </row>
    <row r="35" customFormat="false" ht="15" hidden="false" customHeight="false" outlineLevel="0" collapsed="false">
      <c r="A35" s="9"/>
      <c r="B35" s="9"/>
      <c r="C35" s="9"/>
      <c r="D35" s="9"/>
      <c r="E35" s="9"/>
      <c r="F35" s="9"/>
      <c r="G35" s="9"/>
      <c r="H35" s="9"/>
      <c r="I35" s="9"/>
      <c r="J35" s="9"/>
      <c r="K35" s="9"/>
      <c r="L35" s="9"/>
      <c r="M35" s="9"/>
      <c r="N35" s="9"/>
      <c r="O35" s="9"/>
      <c r="P35" s="9"/>
      <c r="Q35" s="9"/>
      <c r="R35" s="9"/>
      <c r="S35" s="9"/>
      <c r="T35" s="9"/>
      <c r="U35" s="9"/>
      <c r="V35" s="9"/>
      <c r="W35" s="9"/>
    </row>
    <row r="36" customFormat="false" ht="15" hidden="false" customHeight="false" outlineLevel="0" collapsed="false">
      <c r="A36" s="9"/>
      <c r="B36" s="9"/>
      <c r="C36" s="9"/>
      <c r="D36" s="9"/>
      <c r="E36" s="9"/>
      <c r="F36" s="9"/>
      <c r="G36" s="9"/>
      <c r="H36" s="9"/>
      <c r="I36" s="9"/>
      <c r="J36" s="9"/>
      <c r="K36" s="9"/>
      <c r="L36" s="9"/>
      <c r="M36" s="9"/>
      <c r="N36" s="9"/>
      <c r="O36" s="9"/>
      <c r="P36" s="9"/>
      <c r="Q36" s="9"/>
      <c r="R36" s="9"/>
      <c r="S36" s="9"/>
      <c r="T36" s="9"/>
      <c r="U36" s="9"/>
      <c r="V36" s="9"/>
      <c r="W36" s="9"/>
    </row>
    <row r="37" customFormat="false" ht="15" hidden="false" customHeight="false" outlineLevel="0" collapsed="false">
      <c r="A37" s="9"/>
      <c r="B37" s="9"/>
      <c r="C37" s="9"/>
      <c r="D37" s="9"/>
      <c r="E37" s="9"/>
      <c r="F37" s="9"/>
      <c r="G37" s="9"/>
      <c r="H37" s="9"/>
      <c r="I37" s="9"/>
      <c r="J37" s="9"/>
      <c r="K37" s="9"/>
      <c r="L37" s="9"/>
      <c r="M37" s="9"/>
      <c r="N37" s="9"/>
      <c r="O37" s="9"/>
      <c r="P37" s="9"/>
      <c r="Q37" s="9"/>
      <c r="R37" s="9"/>
      <c r="S37" s="9"/>
      <c r="T37" s="9"/>
      <c r="U37" s="9"/>
      <c r="V37" s="9"/>
      <c r="W37" s="9"/>
    </row>
    <row r="38" customFormat="false" ht="15" hidden="false" customHeight="false" outlineLevel="0" collapsed="false">
      <c r="A38" s="9"/>
      <c r="B38" s="9"/>
      <c r="C38" s="9"/>
      <c r="D38" s="9"/>
      <c r="E38" s="9"/>
      <c r="F38" s="9"/>
      <c r="G38" s="9"/>
      <c r="H38" s="9"/>
      <c r="I38" s="9"/>
      <c r="J38" s="9"/>
      <c r="K38" s="9"/>
      <c r="L38" s="9"/>
      <c r="M38" s="9"/>
      <c r="N38" s="9"/>
      <c r="O38" s="9"/>
      <c r="P38" s="9"/>
      <c r="Q38" s="9"/>
      <c r="R38" s="9"/>
      <c r="S38" s="9"/>
      <c r="T38" s="9"/>
      <c r="U38" s="9"/>
      <c r="V38" s="9"/>
      <c r="W38" s="9"/>
    </row>
    <row r="39" customFormat="false" ht="15" hidden="false" customHeight="false" outlineLevel="0" collapsed="false">
      <c r="A39" s="9"/>
      <c r="B39" s="9"/>
      <c r="C39" s="9"/>
      <c r="D39" s="9"/>
      <c r="E39" s="9"/>
      <c r="F39" s="9"/>
      <c r="G39" s="9"/>
      <c r="H39" s="9"/>
      <c r="I39" s="9"/>
      <c r="J39" s="9"/>
      <c r="K39" s="9"/>
      <c r="L39" s="9"/>
      <c r="M39" s="9"/>
      <c r="N39" s="9"/>
      <c r="O39" s="9"/>
      <c r="P39" s="9"/>
      <c r="Q39" s="9"/>
      <c r="R39" s="9"/>
      <c r="S39" s="9"/>
      <c r="T39" s="9"/>
      <c r="U39" s="9"/>
      <c r="V39" s="9"/>
      <c r="W39" s="9"/>
    </row>
    <row r="40" customFormat="false" ht="15" hidden="false" customHeight="false" outlineLevel="0" collapsed="false">
      <c r="A40" s="9"/>
      <c r="B40" s="9"/>
      <c r="C40" s="9"/>
      <c r="D40" s="9"/>
      <c r="E40" s="9"/>
      <c r="F40" s="9"/>
      <c r="G40" s="9"/>
      <c r="H40" s="9"/>
      <c r="I40" s="9"/>
      <c r="J40" s="9"/>
      <c r="K40" s="9"/>
      <c r="L40" s="9"/>
      <c r="M40" s="9"/>
      <c r="N40" s="9"/>
      <c r="O40" s="9"/>
      <c r="P40" s="9"/>
      <c r="Q40" s="9"/>
      <c r="R40" s="9"/>
      <c r="S40" s="9"/>
      <c r="T40" s="9"/>
      <c r="U40" s="9"/>
      <c r="V40" s="9"/>
      <c r="W40" s="9"/>
    </row>
    <row r="41" customFormat="false" ht="15" hidden="false" customHeight="false" outlineLevel="0" collapsed="false">
      <c r="A41" s="9"/>
      <c r="B41" s="9"/>
      <c r="C41" s="9"/>
      <c r="D41" s="9"/>
      <c r="E41" s="9"/>
      <c r="F41" s="9"/>
      <c r="G41" s="9"/>
      <c r="H41" s="9"/>
      <c r="I41" s="9"/>
      <c r="J41" s="9"/>
      <c r="K41" s="9"/>
      <c r="L41" s="9"/>
      <c r="M41" s="9"/>
      <c r="N41" s="9"/>
      <c r="O41" s="9"/>
      <c r="P41" s="9"/>
      <c r="Q41" s="9"/>
      <c r="R41" s="9"/>
      <c r="S41" s="9"/>
      <c r="T41" s="9"/>
      <c r="U41" s="9"/>
      <c r="V41" s="9"/>
      <c r="W41" s="9"/>
    </row>
  </sheetData>
  <sheetProtection sheet="true" objects="true" scenarios="true"/>
  <mergeCells count="4">
    <mergeCell ref="B1:G1"/>
    <mergeCell ref="D4:F4"/>
    <mergeCell ref="C28:E28"/>
    <mergeCell ref="F28:G28"/>
  </mergeCells>
  <dataValidations count="4">
    <dataValidation allowBlank="true" error="Please select a valid value from the list." errorTitle="Error" operator="between" prompt="Please select a faculty from the list." showDropDown="false" showErrorMessage="true" showInputMessage="true" sqref="B7" type="list">
      <formula1>FacultyList</formula1>
      <formula2>0</formula2>
    </dataValidation>
    <dataValidation allowBlank="true" error="Not a valid date, please enter a date prior to todays date." operator="between" prompt="Please enter the date you commenced your studies" showDropDown="false" showErrorMessage="true" showInputMessage="true" sqref="G4" type="date">
      <formula1>1</formula1>
      <formula2>TODAY()</formula2>
    </dataValidation>
    <dataValidation allowBlank="true" error="Please select a valid school or discipline from the list.&#10;If your school or discipline is not in the list, please leave blank.&#10;" operator="between" prompt="Please select your school or discipline from the list. If your school or discipline does not exist, then there are not specific milstones associated with that school or discipline - please leave it blank." showDropDown="false" showErrorMessage="true" showInputMessage="true" sqref="B8" type="list">
      <formula1>SchoolList</formula1>
      <formula2>0</formula2>
    </dataValidation>
    <dataValidation allowBlank="true" error="Please select a valid degree" errorTitle="Error" operator="between" prompt="Please select a valid degree from the list" showDropDown="false" showErrorMessage="true" showInputMessage="true" sqref="B9" type="list">
      <formula1>DegreeList</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true"/>
  </sheetPr>
  <dimension ref="A1:O29"/>
  <sheetViews>
    <sheetView windowProtection="false" showFormulas="false" showGridLines="true" showRowColHeaders="true" showZeros="true" rightToLeft="false" tabSelected="false" showOutlineSymbols="true" defaultGridColor="true" view="normal" topLeftCell="C1" colorId="64" zoomScale="110" zoomScaleNormal="110" zoomScalePageLayoutView="100" workbookViewId="0">
      <selection pane="topLeft" activeCell="A23" activeCellId="0" sqref="A23"/>
    </sheetView>
  </sheetViews>
  <sheetFormatPr defaultRowHeight="15"/>
  <cols>
    <col collapsed="false" hidden="true" max="2" min="1" style="17" width="0"/>
    <col collapsed="false" hidden="false" max="3" min="3" style="17" width="5.80612244897959"/>
    <col collapsed="false" hidden="false" max="4" min="4" style="17" width="5.53571428571429"/>
    <col collapsed="false" hidden="false" max="5" min="5" style="17" width="8.36734693877551"/>
    <col collapsed="false" hidden="false" max="6" min="6" style="17" width="28.7551020408163"/>
    <col collapsed="false" hidden="false" max="7" min="7" style="17" width="12.5561224489796"/>
    <col collapsed="false" hidden="false" max="8" min="8" style="17" width="14.7142857142857"/>
    <col collapsed="false" hidden="false" max="9" min="9" style="17" width="15.7959183673469"/>
    <col collapsed="false" hidden="false" max="10" min="10" style="17" width="11.6071428571429"/>
    <col collapsed="false" hidden="false" max="11" min="11" style="17" width="24.1632653061224"/>
    <col collapsed="false" hidden="false" max="14" min="12" style="17" width="9.04591836734694"/>
    <col collapsed="false" hidden="true" max="15" min="15" style="17" width="0"/>
    <col collapsed="false" hidden="false" max="1025" min="16" style="17" width="9.04591836734694"/>
  </cols>
  <sheetData>
    <row r="1" customFormat="false" ht="26.25" hidden="false" customHeight="false" outlineLevel="0" collapsed="false">
      <c r="A1" s="17" t="n">
        <v>0</v>
      </c>
      <c r="B1" s="0"/>
      <c r="C1" s="18"/>
      <c r="D1" s="19"/>
      <c r="E1" s="19"/>
      <c r="F1" s="20" t="s">
        <v>33</v>
      </c>
      <c r="G1" s="20"/>
      <c r="H1" s="20"/>
      <c r="I1" s="20"/>
      <c r="J1" s="20"/>
      <c r="K1" s="20"/>
      <c r="L1" s="19"/>
      <c r="M1" s="19"/>
      <c r="N1" s="21" t="str">
        <f aca="false">Information!B1</f>
        <v>v2.2.6</v>
      </c>
      <c r="O1" s="0"/>
    </row>
    <row r="2" customFormat="false" ht="15" hidden="false" customHeight="false" outlineLevel="0" collapsed="false">
      <c r="A2" s="0"/>
      <c r="B2" s="0"/>
      <c r="C2" s="22"/>
      <c r="D2" s="23"/>
      <c r="E2" s="23"/>
      <c r="F2" s="23"/>
      <c r="G2" s="23"/>
      <c r="H2" s="23"/>
      <c r="I2" s="23"/>
      <c r="J2" s="23"/>
      <c r="K2" s="23"/>
      <c r="L2" s="23"/>
      <c r="M2" s="23"/>
      <c r="N2" s="24"/>
      <c r="O2" s="0"/>
    </row>
    <row r="3" customFormat="false" ht="15" hidden="false" customHeight="false" outlineLevel="0" collapsed="false">
      <c r="A3" s="0"/>
      <c r="B3" s="0"/>
      <c r="C3" s="25"/>
      <c r="D3" s="23"/>
      <c r="E3" s="23"/>
      <c r="F3" s="23"/>
      <c r="G3" s="23"/>
      <c r="H3" s="23"/>
      <c r="I3" s="23"/>
      <c r="J3" s="23"/>
      <c r="K3" s="23"/>
      <c r="L3" s="23"/>
      <c r="M3" s="23"/>
      <c r="N3" s="24"/>
      <c r="O3" s="0"/>
    </row>
    <row r="4" customFormat="false" ht="15" hidden="false" customHeight="false" outlineLevel="0" collapsed="false">
      <c r="A4" s="0"/>
      <c r="B4" s="0"/>
      <c r="C4" s="22" t="s">
        <v>34</v>
      </c>
      <c r="D4" s="23"/>
      <c r="E4" s="26"/>
      <c r="F4" s="26" t="s">
        <v>35</v>
      </c>
      <c r="G4" s="23"/>
      <c r="H4" s="11" t="s">
        <v>23</v>
      </c>
      <c r="I4" s="11"/>
      <c r="J4" s="27" t="n">
        <v>42370</v>
      </c>
      <c r="K4" s="28"/>
      <c r="L4" s="23"/>
      <c r="M4" s="23"/>
      <c r="N4" s="24"/>
      <c r="O4" s="0"/>
    </row>
    <row r="5" customFormat="false" ht="15" hidden="false" customHeight="false" outlineLevel="0" collapsed="false">
      <c r="A5" s="0"/>
      <c r="B5" s="0"/>
      <c r="C5" s="22" t="s">
        <v>24</v>
      </c>
      <c r="D5" s="23"/>
      <c r="E5" s="29"/>
      <c r="F5" s="29" t="n">
        <v>12345</v>
      </c>
      <c r="G5" s="23"/>
      <c r="H5" s="23" t="s">
        <v>25</v>
      </c>
      <c r="I5" s="23"/>
      <c r="J5" s="30" t="s">
        <v>36</v>
      </c>
      <c r="K5" s="30"/>
      <c r="L5" s="23"/>
      <c r="M5" s="23"/>
      <c r="N5" s="24"/>
      <c r="O5" s="0"/>
    </row>
    <row r="6" customFormat="false" ht="15" hidden="false" customHeight="false" outlineLevel="0" collapsed="false">
      <c r="A6" s="0"/>
      <c r="B6" s="0"/>
      <c r="C6" s="22"/>
      <c r="D6" s="23"/>
      <c r="E6" s="23"/>
      <c r="F6" s="23"/>
      <c r="G6" s="23"/>
      <c r="H6" s="23"/>
      <c r="I6" s="23"/>
      <c r="J6" s="23"/>
      <c r="K6" s="23"/>
      <c r="L6" s="23"/>
      <c r="M6" s="23"/>
      <c r="N6" s="24"/>
      <c r="O6" s="0"/>
    </row>
    <row r="7" customFormat="false" ht="15" hidden="false" customHeight="false" outlineLevel="0" collapsed="false">
      <c r="A7" s="0"/>
      <c r="B7" s="0"/>
      <c r="C7" s="31" t="s">
        <v>27</v>
      </c>
      <c r="D7" s="32"/>
      <c r="E7" s="33"/>
      <c r="F7" s="33" t="s">
        <v>28</v>
      </c>
      <c r="G7" s="23"/>
      <c r="H7" s="23" t="s">
        <v>37</v>
      </c>
      <c r="I7" s="23"/>
      <c r="J7" s="27" t="n">
        <v>42403</v>
      </c>
      <c r="K7" s="27"/>
      <c r="L7" s="23"/>
      <c r="M7" s="23"/>
      <c r="N7" s="24"/>
      <c r="O7" s="0"/>
    </row>
    <row r="8" customFormat="false" ht="15" hidden="false" customHeight="false" outlineLevel="0" collapsed="false">
      <c r="A8" s="0"/>
      <c r="B8" s="0"/>
      <c r="C8" s="22" t="s">
        <v>29</v>
      </c>
      <c r="D8" s="23"/>
      <c r="E8" s="23"/>
      <c r="F8" s="28"/>
      <c r="G8" s="23"/>
      <c r="H8" s="23" t="s">
        <v>30</v>
      </c>
      <c r="I8" s="23"/>
      <c r="J8" s="23" t="str">
        <f aca="false">Information!C1</f>
        <v>Full-time</v>
      </c>
      <c r="K8" s="23"/>
      <c r="L8" s="23"/>
      <c r="M8" s="23"/>
      <c r="N8" s="24"/>
      <c r="O8" s="0"/>
    </row>
    <row r="9" customFormat="false" ht="14.45" hidden="false" customHeight="false" outlineLevel="0" collapsed="false">
      <c r="A9" s="0"/>
      <c r="B9" s="0"/>
      <c r="C9" s="22" t="s">
        <v>31</v>
      </c>
      <c r="D9" s="23"/>
      <c r="E9" s="23"/>
      <c r="F9" s="28" t="s">
        <v>38</v>
      </c>
      <c r="G9" s="23"/>
      <c r="H9" s="23"/>
      <c r="I9" s="23"/>
      <c r="J9" s="23"/>
      <c r="K9" s="23"/>
      <c r="L9" s="23"/>
      <c r="M9" s="23"/>
      <c r="N9" s="24"/>
      <c r="O9" s="0"/>
    </row>
    <row r="10" customFormat="false" ht="14.45" hidden="false" customHeight="false" outlineLevel="0" collapsed="false">
      <c r="A10" s="0"/>
      <c r="B10" s="0"/>
      <c r="C10" s="22"/>
      <c r="D10" s="23"/>
      <c r="E10" s="23"/>
      <c r="F10" s="23"/>
      <c r="G10" s="23"/>
      <c r="H10" s="23"/>
      <c r="I10" s="23"/>
      <c r="J10" s="23"/>
      <c r="K10" s="23"/>
      <c r="L10" s="23"/>
      <c r="M10" s="23"/>
      <c r="N10" s="24"/>
      <c r="O10" s="0"/>
    </row>
    <row r="11" customFormat="false" ht="15" hidden="false" customHeight="false" outlineLevel="0" collapsed="false">
      <c r="A11" s="0"/>
      <c r="B11" s="0"/>
      <c r="C11" s="22"/>
      <c r="D11" s="23"/>
      <c r="E11" s="23"/>
      <c r="F11" s="23"/>
      <c r="G11" s="23"/>
      <c r="H11" s="23"/>
      <c r="I11" s="23"/>
      <c r="J11" s="23"/>
      <c r="K11" s="34"/>
      <c r="L11" s="23"/>
      <c r="M11" s="23"/>
      <c r="N11" s="24"/>
      <c r="O11" s="0"/>
    </row>
    <row r="12" customFormat="false" ht="15.75" hidden="false" customHeight="false" outlineLevel="0" collapsed="false">
      <c r="A12" s="0"/>
      <c r="B12" s="0"/>
      <c r="C12" s="22"/>
      <c r="D12" s="35"/>
      <c r="E12" s="35"/>
      <c r="F12" s="35"/>
      <c r="G12" s="35"/>
      <c r="H12" s="35"/>
      <c r="I12" s="35"/>
      <c r="J12" s="35"/>
      <c r="K12" s="35"/>
      <c r="L12" s="35"/>
      <c r="M12" s="35"/>
      <c r="N12" s="24"/>
      <c r="O12" s="0"/>
    </row>
    <row r="13" customFormat="false" ht="15.75" hidden="false" customHeight="true" outlineLevel="0" collapsed="false">
      <c r="A13" s="36" t="s">
        <v>39</v>
      </c>
      <c r="B13" s="37" t="s">
        <v>40</v>
      </c>
      <c r="C13" s="38" t="s">
        <v>41</v>
      </c>
      <c r="D13" s="39" t="s">
        <v>42</v>
      </c>
      <c r="E13" s="40" t="s">
        <v>43</v>
      </c>
      <c r="F13" s="40"/>
      <c r="G13" s="41" t="s">
        <v>44</v>
      </c>
      <c r="H13" s="41" t="s">
        <v>45</v>
      </c>
      <c r="I13" s="41" t="s">
        <v>46</v>
      </c>
      <c r="J13" s="42" t="s">
        <v>47</v>
      </c>
      <c r="K13" s="43" t="s">
        <v>48</v>
      </c>
      <c r="L13" s="43"/>
      <c r="M13" s="43"/>
      <c r="N13" s="43"/>
      <c r="O13" s="0"/>
    </row>
    <row r="14" customFormat="false" ht="15" hidden="false" customHeight="false" outlineLevel="0" collapsed="false">
      <c r="A14" s="44" t="s">
        <v>49</v>
      </c>
      <c r="B14" s="44"/>
      <c r="C14" s="45" t="s">
        <v>50</v>
      </c>
      <c r="D14" s="46" t="s">
        <v>51</v>
      </c>
      <c r="E14" s="47" t="s">
        <v>52</v>
      </c>
      <c r="F14" s="47"/>
      <c r="G14" s="48" t="s">
        <v>53</v>
      </c>
      <c r="H14" s="49" t="n">
        <v>42491</v>
      </c>
      <c r="I14" s="50"/>
      <c r="J14" s="51" t="str">
        <f aca="true">IF(OR(G14="Not Applicable",G14="Complete"),"",IF(NOW()&gt;IF(NOT(ISBLANK(I14)),I14,H14),"Overdue",""))</f>
        <v>Overdue</v>
      </c>
      <c r="K14" s="52"/>
      <c r="L14" s="52"/>
      <c r="M14" s="52"/>
      <c r="N14" s="52"/>
      <c r="O14" s="53" t="n">
        <f aca="false">K14</f>
        <v>0</v>
      </c>
    </row>
    <row r="15" customFormat="false" ht="15" hidden="false" customHeight="false" outlineLevel="0" collapsed="false">
      <c r="A15" s="54" t="s">
        <v>54</v>
      </c>
      <c r="B15" s="54"/>
      <c r="C15" s="55" t="s">
        <v>55</v>
      </c>
      <c r="D15" s="56" t="s">
        <v>51</v>
      </c>
      <c r="E15" s="57" t="s">
        <v>56</v>
      </c>
      <c r="F15" s="57"/>
      <c r="G15" s="58" t="s">
        <v>53</v>
      </c>
      <c r="H15" s="59" t="n">
        <v>42552</v>
      </c>
      <c r="I15" s="60"/>
      <c r="J15" s="61" t="str">
        <f aca="true">IF(OR(G15="Not Applicable",G15="Complete"),"",IF(NOW()&gt;IF(NOT(ISBLANK(I15)),I15,H15),"Overdue",""))</f>
        <v/>
      </c>
      <c r="K15" s="62"/>
      <c r="L15" s="62"/>
      <c r="M15" s="62"/>
      <c r="N15" s="62"/>
      <c r="O15" s="53" t="n">
        <f aca="false">K15</f>
        <v>0</v>
      </c>
    </row>
    <row r="16" customFormat="false" ht="15" hidden="false" customHeight="false" outlineLevel="0" collapsed="false">
      <c r="A16" s="54" t="s">
        <v>57</v>
      </c>
      <c r="B16" s="54" t="s">
        <v>54</v>
      </c>
      <c r="C16" s="55" t="s">
        <v>55</v>
      </c>
      <c r="D16" s="56" t="s">
        <v>58</v>
      </c>
      <c r="E16" s="63" t="s">
        <v>59</v>
      </c>
      <c r="F16" s="63"/>
      <c r="G16" s="58" t="s">
        <v>53</v>
      </c>
      <c r="H16" s="59" t="n">
        <v>42430</v>
      </c>
      <c r="I16" s="60"/>
      <c r="J16" s="61" t="str">
        <f aca="true">IF(OR(G16="Not Applicable",G16="Complete"),"",IF(NOW()&gt;IF(NOT(ISBLANK(I16)),I16,H16),"Overdue",""))</f>
        <v>Overdue</v>
      </c>
      <c r="K16" s="62"/>
      <c r="L16" s="62"/>
      <c r="M16" s="62"/>
      <c r="N16" s="62"/>
      <c r="O16" s="53" t="n">
        <f aca="false">K16</f>
        <v>0</v>
      </c>
    </row>
    <row r="17" customFormat="false" ht="15" hidden="false" customHeight="false" outlineLevel="0" collapsed="false">
      <c r="A17" s="54" t="s">
        <v>60</v>
      </c>
      <c r="B17" s="54" t="s">
        <v>54</v>
      </c>
      <c r="C17" s="55" t="s">
        <v>55</v>
      </c>
      <c r="D17" s="56" t="s">
        <v>58</v>
      </c>
      <c r="E17" s="63" t="s">
        <v>61</v>
      </c>
      <c r="F17" s="63"/>
      <c r="G17" s="58" t="s">
        <v>53</v>
      </c>
      <c r="H17" s="59" t="n">
        <v>42461</v>
      </c>
      <c r="I17" s="60"/>
      <c r="J17" s="61" t="str">
        <f aca="true">IF(OR(G17="Not Applicable",G17="Complete"),"",IF(NOW()&gt;IF(NOT(ISBLANK(I17)),I17,H17),"Overdue",""))</f>
        <v>Overdue</v>
      </c>
      <c r="K17" s="62"/>
      <c r="L17" s="62"/>
      <c r="M17" s="62"/>
      <c r="N17" s="62"/>
      <c r="O17" s="53" t="n">
        <f aca="false">K17</f>
        <v>0</v>
      </c>
    </row>
    <row r="18" customFormat="false" ht="15" hidden="false" customHeight="false" outlineLevel="0" collapsed="false">
      <c r="A18" s="54" t="s">
        <v>62</v>
      </c>
      <c r="B18" s="54" t="s">
        <v>54</v>
      </c>
      <c r="C18" s="55" t="s">
        <v>55</v>
      </c>
      <c r="D18" s="56" t="s">
        <v>58</v>
      </c>
      <c r="E18" s="63" t="s">
        <v>63</v>
      </c>
      <c r="F18" s="63"/>
      <c r="G18" s="58" t="s">
        <v>53</v>
      </c>
      <c r="H18" s="59" t="n">
        <v>42552</v>
      </c>
      <c r="I18" s="60"/>
      <c r="J18" s="61" t="str">
        <f aca="true">IF(OR(G18="Not Applicable",G18="Complete"),"",IF(NOW()&gt;IF(NOT(ISBLANK(I18)),I18,H18),"Overdue",""))</f>
        <v/>
      </c>
      <c r="K18" s="62"/>
      <c r="L18" s="62"/>
      <c r="M18" s="62"/>
      <c r="N18" s="62"/>
      <c r="O18" s="53" t="n">
        <f aca="false">K18</f>
        <v>0</v>
      </c>
    </row>
    <row r="19" customFormat="false" ht="15" hidden="false" customHeight="false" outlineLevel="0" collapsed="false">
      <c r="A19" s="54" t="s">
        <v>64</v>
      </c>
      <c r="B19" s="54"/>
      <c r="C19" s="55" t="s">
        <v>50</v>
      </c>
      <c r="D19" s="56" t="s">
        <v>51</v>
      </c>
      <c r="E19" s="57" t="s">
        <v>65</v>
      </c>
      <c r="F19" s="57"/>
      <c r="G19" s="58" t="s">
        <v>53</v>
      </c>
      <c r="H19" s="59" t="n">
        <v>42675</v>
      </c>
      <c r="I19" s="60"/>
      <c r="J19" s="61" t="str">
        <f aca="true">IF(OR(G19="Not Applicable",G19="Complete"),"",IF(NOW()&gt;IF(NOT(ISBLANK(I19)),I19,H19),"Overdue",""))</f>
        <v/>
      </c>
      <c r="K19" s="62"/>
      <c r="L19" s="62"/>
      <c r="M19" s="62"/>
      <c r="N19" s="62"/>
      <c r="O19" s="53" t="n">
        <f aca="false">K19</f>
        <v>0</v>
      </c>
    </row>
    <row r="20" customFormat="false" ht="15" hidden="false" customHeight="false" outlineLevel="0" collapsed="false">
      <c r="A20" s="54" t="s">
        <v>66</v>
      </c>
      <c r="B20" s="54"/>
      <c r="C20" s="55" t="s">
        <v>50</v>
      </c>
      <c r="D20" s="56" t="s">
        <v>51</v>
      </c>
      <c r="E20" s="57" t="s">
        <v>67</v>
      </c>
      <c r="F20" s="57"/>
      <c r="G20" s="58" t="s">
        <v>53</v>
      </c>
      <c r="H20" s="59" t="n">
        <v>42736</v>
      </c>
      <c r="I20" s="60"/>
      <c r="J20" s="61" t="str">
        <f aca="true">IF(OR(G20="Not Applicable",G20="Complete"),"",IF(NOW()&gt;IF(NOT(ISBLANK(I20)),I20,H20),"Overdue",""))</f>
        <v/>
      </c>
      <c r="K20" s="62"/>
      <c r="L20" s="62"/>
      <c r="M20" s="62"/>
      <c r="N20" s="62"/>
      <c r="O20" s="53" t="n">
        <f aca="false">K20</f>
        <v>0</v>
      </c>
    </row>
    <row r="21" customFormat="false" ht="15" hidden="false" customHeight="false" outlineLevel="0" collapsed="false">
      <c r="A21" s="54" t="s">
        <v>68</v>
      </c>
      <c r="B21" s="54"/>
      <c r="C21" s="55" t="s">
        <v>50</v>
      </c>
      <c r="D21" s="56" t="s">
        <v>51</v>
      </c>
      <c r="E21" s="57" t="s">
        <v>69</v>
      </c>
      <c r="F21" s="57"/>
      <c r="G21" s="58" t="s">
        <v>53</v>
      </c>
      <c r="H21" s="59" t="n">
        <v>42736</v>
      </c>
      <c r="I21" s="60"/>
      <c r="J21" s="61" t="str">
        <f aca="true">IF(OR(G21="Not Applicable",G21="Complete"),"",IF(NOW()&gt;IF(NOT(ISBLANK(I21)),I21,H21),"Overdue",""))</f>
        <v/>
      </c>
      <c r="K21" s="62"/>
      <c r="L21" s="62"/>
      <c r="M21" s="62"/>
      <c r="N21" s="62"/>
      <c r="O21" s="53" t="n">
        <f aca="false">K21</f>
        <v>0</v>
      </c>
    </row>
    <row r="22" customFormat="false" ht="15" hidden="false" customHeight="false" outlineLevel="0" collapsed="false">
      <c r="A22" s="54" t="s">
        <v>70</v>
      </c>
      <c r="B22" s="54"/>
      <c r="C22" s="55" t="s">
        <v>55</v>
      </c>
      <c r="D22" s="56" t="s">
        <v>51</v>
      </c>
      <c r="E22" s="57" t="s">
        <v>71</v>
      </c>
      <c r="F22" s="57"/>
      <c r="G22" s="58" t="s">
        <v>53</v>
      </c>
      <c r="H22" s="59" t="n">
        <v>42736</v>
      </c>
      <c r="I22" s="60"/>
      <c r="J22" s="61" t="str">
        <f aca="true">IF(OR(G22="Not Applicable",G22="Complete"),"",IF(NOW()&gt;IF(NOT(ISBLANK(I22)),I22,H22),"Overdue",""))</f>
        <v/>
      </c>
      <c r="K22" s="62"/>
      <c r="L22" s="62"/>
      <c r="M22" s="62"/>
      <c r="N22" s="62"/>
      <c r="O22" s="53" t="n">
        <f aca="false">K22</f>
        <v>0</v>
      </c>
    </row>
    <row r="23" customFormat="false" ht="15" hidden="false" customHeight="false" outlineLevel="0" collapsed="false">
      <c r="A23" s="54" t="s">
        <v>72</v>
      </c>
      <c r="B23" s="54" t="s">
        <v>70</v>
      </c>
      <c r="C23" s="55" t="s">
        <v>55</v>
      </c>
      <c r="D23" s="56" t="s">
        <v>58</v>
      </c>
      <c r="E23" s="63" t="s">
        <v>73</v>
      </c>
      <c r="F23" s="63"/>
      <c r="G23" s="58" t="s">
        <v>53</v>
      </c>
      <c r="H23" s="59" t="n">
        <v>42736</v>
      </c>
      <c r="I23" s="60"/>
      <c r="J23" s="61" t="str">
        <f aca="true">IF(OR(G23="Not Applicable",G23="Complete"),"",IF(NOW()&gt;IF(NOT(ISBLANK(I23)),I23,H23),"Overdue",""))</f>
        <v/>
      </c>
      <c r="K23" s="62"/>
      <c r="L23" s="62"/>
      <c r="M23" s="62"/>
      <c r="N23" s="62"/>
      <c r="O23" s="53" t="n">
        <f aca="false">K23</f>
        <v>0</v>
      </c>
    </row>
    <row r="24" customFormat="false" ht="15" hidden="false" customHeight="false" outlineLevel="0" collapsed="false">
      <c r="A24" s="54" t="s">
        <v>74</v>
      </c>
      <c r="B24" s="54"/>
      <c r="C24" s="55" t="s">
        <v>50</v>
      </c>
      <c r="D24" s="56" t="s">
        <v>51</v>
      </c>
      <c r="E24" s="57" t="s">
        <v>75</v>
      </c>
      <c r="F24" s="57"/>
      <c r="G24" s="58" t="s">
        <v>53</v>
      </c>
      <c r="H24" s="59" t="n">
        <v>42917</v>
      </c>
      <c r="I24" s="60"/>
      <c r="J24" s="61" t="str">
        <f aca="true">IF(OR(G24="Not Applicable",G24="Complete"),"",IF(NOW()&gt;IF(NOT(ISBLANK(I24)),I24,H24),"Overdue",""))</f>
        <v/>
      </c>
      <c r="K24" s="62"/>
      <c r="L24" s="62"/>
      <c r="M24" s="62"/>
      <c r="N24" s="62"/>
      <c r="O24" s="53" t="n">
        <f aca="false">K24</f>
        <v>0</v>
      </c>
    </row>
    <row r="25" customFormat="false" ht="15" hidden="false" customHeight="false" outlineLevel="0" collapsed="false">
      <c r="A25" s="54" t="s">
        <v>76</v>
      </c>
      <c r="B25" s="54"/>
      <c r="C25" s="55" t="s">
        <v>55</v>
      </c>
      <c r="D25" s="56" t="s">
        <v>51</v>
      </c>
      <c r="E25" s="57" t="s">
        <v>77</v>
      </c>
      <c r="F25" s="57"/>
      <c r="G25" s="58" t="s">
        <v>53</v>
      </c>
      <c r="H25" s="59" t="n">
        <v>43009</v>
      </c>
      <c r="I25" s="60"/>
      <c r="J25" s="61" t="str">
        <f aca="true">IF(OR(G25="Not Applicable",G25="Complete"),"",IF(NOW()&gt;IF(NOT(ISBLANK(I25)),I25,H25),"Overdue",""))</f>
        <v/>
      </c>
      <c r="K25" s="62"/>
      <c r="L25" s="62"/>
      <c r="M25" s="62"/>
      <c r="N25" s="62"/>
      <c r="O25" s="53" t="n">
        <f aca="false">K25</f>
        <v>0</v>
      </c>
    </row>
    <row r="26" customFormat="false" ht="15" hidden="false" customHeight="false" outlineLevel="0" collapsed="false">
      <c r="A26" s="54" t="s">
        <v>78</v>
      </c>
      <c r="B26" s="54"/>
      <c r="C26" s="55" t="s">
        <v>55</v>
      </c>
      <c r="D26" s="56" t="s">
        <v>51</v>
      </c>
      <c r="E26" s="57" t="s">
        <v>79</v>
      </c>
      <c r="F26" s="57"/>
      <c r="G26" s="58" t="s">
        <v>53</v>
      </c>
      <c r="H26" s="59" t="n">
        <v>43101</v>
      </c>
      <c r="I26" s="60"/>
      <c r="J26" s="61" t="str">
        <f aca="true">IF(OR(G26="Not Applicable",G26="Complete"),"",IF(NOW()&gt;IF(NOT(ISBLANK(I26)),I26,H26),"Overdue",""))</f>
        <v/>
      </c>
      <c r="K26" s="62"/>
      <c r="L26" s="62"/>
      <c r="M26" s="62"/>
      <c r="N26" s="62"/>
      <c r="O26" s="53" t="n">
        <f aca="false">K26</f>
        <v>0</v>
      </c>
    </row>
    <row r="27" customFormat="false" ht="15" hidden="false" customHeight="false" outlineLevel="0" collapsed="false">
      <c r="A27" s="54" t="s">
        <v>80</v>
      </c>
      <c r="B27" s="54"/>
      <c r="C27" s="55" t="s">
        <v>55</v>
      </c>
      <c r="D27" s="56" t="s">
        <v>51</v>
      </c>
      <c r="E27" s="57" t="s">
        <v>81</v>
      </c>
      <c r="F27" s="57"/>
      <c r="G27" s="58" t="s">
        <v>53</v>
      </c>
      <c r="H27" s="59" t="n">
        <v>43221</v>
      </c>
      <c r="I27" s="60"/>
      <c r="J27" s="61" t="str">
        <f aca="true">IF(OR(G27="Not Applicable",G27="Complete"),"",IF(NOW()&gt;IF(NOT(ISBLANK(I27)),I27,H27),"Overdue",""))</f>
        <v/>
      </c>
      <c r="K27" s="62"/>
      <c r="L27" s="62"/>
      <c r="M27" s="62"/>
      <c r="N27" s="62"/>
      <c r="O27" s="53" t="n">
        <f aca="false">K27</f>
        <v>0</v>
      </c>
    </row>
    <row r="28" customFormat="false" ht="15" hidden="false" customHeight="false" outlineLevel="0" collapsed="false">
      <c r="A28" s="54" t="s">
        <v>82</v>
      </c>
      <c r="B28" s="54"/>
      <c r="C28" s="55" t="s">
        <v>55</v>
      </c>
      <c r="D28" s="56" t="s">
        <v>51</v>
      </c>
      <c r="E28" s="57" t="s">
        <v>83</v>
      </c>
      <c r="F28" s="57"/>
      <c r="G28" s="58" t="s">
        <v>53</v>
      </c>
      <c r="H28" s="59" t="n">
        <v>43344</v>
      </c>
      <c r="I28" s="60"/>
      <c r="J28" s="61" t="str">
        <f aca="true">IF(OR(G28="Not Applicable",G28="Complete"),"",IF(NOW()&gt;IF(NOT(ISBLANK(I28)),I28,H28),"Overdue",""))</f>
        <v/>
      </c>
      <c r="K28" s="62"/>
      <c r="L28" s="62"/>
      <c r="M28" s="62"/>
      <c r="N28" s="62"/>
      <c r="O28" s="53" t="n">
        <f aca="false">K28</f>
        <v>0</v>
      </c>
    </row>
    <row r="29" customFormat="false" ht="15" hidden="false" customHeight="false" outlineLevel="0" collapsed="false">
      <c r="C29" s="64" t="s">
        <v>84</v>
      </c>
      <c r="D29" s="64"/>
      <c r="E29" s="64"/>
      <c r="F29" s="64"/>
      <c r="G29" s="64"/>
      <c r="H29" s="64"/>
      <c r="I29" s="64"/>
      <c r="J29" s="64"/>
      <c r="K29" s="64"/>
      <c r="L29" s="64"/>
      <c r="M29" s="64"/>
      <c r="N29" s="64"/>
    </row>
  </sheetData>
  <sheetProtection sheet="true" objects="true" scenarios="true"/>
  <mergeCells count="39">
    <mergeCell ref="F1:J1"/>
    <mergeCell ref="E2:F2"/>
    <mergeCell ref="E3:F3"/>
    <mergeCell ref="H4:I4"/>
    <mergeCell ref="J5:K5"/>
    <mergeCell ref="E6:F6"/>
    <mergeCell ref="E13:F13"/>
    <mergeCell ref="K13:N13"/>
    <mergeCell ref="E14:F14"/>
    <mergeCell ref="K14:N14"/>
    <mergeCell ref="E15:F15"/>
    <mergeCell ref="K15:N15"/>
    <mergeCell ref="E16:F16"/>
    <mergeCell ref="K16:N16"/>
    <mergeCell ref="E17:F17"/>
    <mergeCell ref="K17:N17"/>
    <mergeCell ref="E18:F18"/>
    <mergeCell ref="K18:N18"/>
    <mergeCell ref="E19:F19"/>
    <mergeCell ref="K19:N19"/>
    <mergeCell ref="E20:F20"/>
    <mergeCell ref="K20:N20"/>
    <mergeCell ref="E21:F21"/>
    <mergeCell ref="K21:N21"/>
    <mergeCell ref="E22:F22"/>
    <mergeCell ref="K22:N22"/>
    <mergeCell ref="E23:F23"/>
    <mergeCell ref="K23:N23"/>
    <mergeCell ref="E24:F24"/>
    <mergeCell ref="K24:N24"/>
    <mergeCell ref="E25:F25"/>
    <mergeCell ref="K25:N25"/>
    <mergeCell ref="E26:F26"/>
    <mergeCell ref="K26:N26"/>
    <mergeCell ref="E27:F27"/>
    <mergeCell ref="K27:N27"/>
    <mergeCell ref="E28:F28"/>
    <mergeCell ref="K28:N28"/>
    <mergeCell ref="C29:N29"/>
  </mergeCells>
  <dataValidations count="30">
    <dataValidation allowBlank="true" error="Please enter a date between commencement and award" errorTitle="Error" operator="between" prompt="Please enter a valid date" promptTitle="Revised Date" showDropDown="false" showErrorMessage="true" showInputMessage="true" sqref="I14"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14"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15"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15"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16"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16"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17"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17"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18"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18"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19"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19"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0"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0"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1"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1"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2"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2"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3"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3"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4"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4"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5"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5"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6"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6"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7"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7" type="list">
      <formula1>"Not Started,In Progress,Complete,Not Applicable"</formula1>
      <formula2>0</formula2>
    </dataValidation>
    <dataValidation allowBlank="true" error="Please enter a date between commencement and award" errorTitle="Error" operator="between" prompt="Please enter a valid date" promptTitle="Revised Date" showDropDown="false" showErrorMessage="true" showInputMessage="true" sqref="I28" type="date">
      <formula1>J4</formula1>
      <formula2>43344</formula2>
    </dataValidation>
    <dataValidation allowBlank="false" error="You must select a status from the list" errorTitle="Error" operator="between" prompt="Please select a status" promptTitle="Status" showDropDown="false" showErrorMessage="true" showInputMessage="true" sqref="G28" type="list">
      <formula1>"Not Started,In Progress,Complete,Not Applicable"</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0"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
  <sheetViews>
    <sheetView windowProtection="false" showFormulas="false" showGridLines="false" showRowColHeaders="true" showZeros="true" rightToLeft="false" tabSelected="false" showOutlineSymbols="true" defaultGridColor="true" view="normal" topLeftCell="A1" colorId="64" zoomScale="120" zoomScaleNormal="120" zoomScalePageLayoutView="100" workbookViewId="0">
      <selection pane="topLeft" activeCell="E5" activeCellId="0" sqref="E5"/>
    </sheetView>
  </sheetViews>
  <sheetFormatPr defaultRowHeight="15"/>
  <cols>
    <col collapsed="false" hidden="false" max="1" min="1" style="17" width="17.6836734693878"/>
    <col collapsed="false" hidden="false" max="2" min="2" style="17" width="38.2040816326531"/>
    <col collapsed="false" hidden="false" max="6" min="3" style="17" width="9.04591836734694"/>
    <col collapsed="false" hidden="false" max="7" min="7" style="17" width="38.8775510204082"/>
    <col collapsed="false" hidden="false" max="8" min="8" style="17" width="11.6071428571429"/>
    <col collapsed="false" hidden="false" max="9" min="9" style="17" width="9.04591836734694"/>
    <col collapsed="false" hidden="false" max="10" min="10" style="17" width="18.2244897959184"/>
    <col collapsed="false" hidden="false" max="1025" min="11" style="17" width="9.04591836734694"/>
  </cols>
  <sheetData/>
  <sheetProtection sheet="true"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C1:F17"/>
  <sheetViews>
    <sheetView windowProtection="false"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E14" activeCellId="0" sqref="E14"/>
    </sheetView>
  </sheetViews>
  <sheetFormatPr defaultRowHeight="15"/>
  <cols>
    <col collapsed="false" hidden="true" max="2" min="1" style="0" width="0"/>
    <col collapsed="false" hidden="false" max="3" min="3" style="0" width="12.6887755102041"/>
    <col collapsed="false" hidden="false" max="4" min="4" style="0" width="26.5918367346939"/>
    <col collapsed="false" hidden="false" max="5" min="5" style="0" width="15.7959183673469"/>
    <col collapsed="false" hidden="false" max="6" min="6" style="0" width="23.8928571428571"/>
    <col collapsed="false" hidden="false" max="1025" min="7" style="0" width="8.50510204081633"/>
  </cols>
  <sheetData>
    <row r="1" customFormat="false" ht="15" hidden="false" customHeight="false" outlineLevel="0" collapsed="false">
      <c r="C1" s="65" t="s">
        <v>85</v>
      </c>
      <c r="D1" s="65" t="s">
        <v>86</v>
      </c>
      <c r="E1" s="65" t="s">
        <v>87</v>
      </c>
      <c r="F1" s="65" t="s">
        <v>88</v>
      </c>
    </row>
    <row r="2" customFormat="false" ht="15" hidden="false" customHeight="false" outlineLevel="0" collapsed="false">
      <c r="C2" s="0" t="s">
        <v>32</v>
      </c>
      <c r="D2" s="0" t="s">
        <v>89</v>
      </c>
      <c r="F2" s="0" t="s">
        <v>90</v>
      </c>
    </row>
    <row r="3" customFormat="false" ht="15" hidden="false" customHeight="false" outlineLevel="0" collapsed="false">
      <c r="C3" s="0" t="s">
        <v>38</v>
      </c>
      <c r="D3" s="0" t="s">
        <v>91</v>
      </c>
    </row>
    <row r="4" customFormat="false" ht="15" hidden="false" customHeight="false" outlineLevel="0" collapsed="false">
      <c r="D4" s="0" t="s">
        <v>92</v>
      </c>
    </row>
    <row r="5" customFormat="false" ht="15" hidden="false" customHeight="false" outlineLevel="0" collapsed="false">
      <c r="D5" s="0" t="s">
        <v>93</v>
      </c>
    </row>
    <row r="6" customFormat="false" ht="15" hidden="false" customHeight="false" outlineLevel="0" collapsed="false">
      <c r="D6" s="0" t="s">
        <v>94</v>
      </c>
    </row>
    <row r="7" customFormat="false" ht="15" hidden="false" customHeight="false" outlineLevel="0" collapsed="false">
      <c r="D7" s="0" t="s">
        <v>95</v>
      </c>
    </row>
    <row r="8" customFormat="false" ht="15" hidden="false" customHeight="false" outlineLevel="0" collapsed="false">
      <c r="D8" s="0" t="s">
        <v>96</v>
      </c>
    </row>
    <row r="9" customFormat="false" ht="15" hidden="false" customHeight="false" outlineLevel="0" collapsed="false">
      <c r="D9" s="0" t="s">
        <v>97</v>
      </c>
    </row>
    <row r="10" customFormat="false" ht="15" hidden="false" customHeight="false" outlineLevel="0" collapsed="false">
      <c r="D10" s="0" t="s">
        <v>98</v>
      </c>
    </row>
    <row r="11" customFormat="false" ht="15" hidden="false" customHeight="false" outlineLevel="0" collapsed="false">
      <c r="D11" s="0" t="s">
        <v>99</v>
      </c>
    </row>
    <row r="12" customFormat="false" ht="15" hidden="false" customHeight="false" outlineLevel="0" collapsed="false">
      <c r="D12" s="0" t="s">
        <v>100</v>
      </c>
    </row>
    <row r="13" customFormat="false" ht="15" hidden="false" customHeight="false" outlineLevel="0" collapsed="false">
      <c r="D13" s="0" t="s">
        <v>101</v>
      </c>
    </row>
    <row r="14" customFormat="false" ht="15" hidden="false" customHeight="false" outlineLevel="0" collapsed="false">
      <c r="D14" s="0" t="s">
        <v>102</v>
      </c>
    </row>
    <row r="15" customFormat="false" ht="15" hidden="false" customHeight="false" outlineLevel="0" collapsed="false">
      <c r="D15" s="0" t="s">
        <v>103</v>
      </c>
    </row>
    <row r="16" customFormat="false" ht="15" hidden="false" customHeight="false" outlineLevel="0" collapsed="false">
      <c r="D16" s="0" t="s">
        <v>28</v>
      </c>
    </row>
    <row r="17" customFormat="false" ht="15" hidden="false" customHeight="false" outlineLevel="0" collapsed="false">
      <c r="D17" s="0" t="s">
        <v>104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E207"/>
  <sheetViews>
    <sheetView windowProtection="false" showFormulas="false" showGridLines="true" showRowColHeaders="true" showZeros="true" rightToLeft="false" tabSelected="false" showOutlineSymbols="true" defaultGridColor="true" view="normal" topLeftCell="A16" colorId="64" zoomScale="100" zoomScaleNormal="100" zoomScalePageLayoutView="100" workbookViewId="0">
      <selection pane="topLeft" activeCell="A22" activeCellId="0" sqref="A22"/>
    </sheetView>
  </sheetViews>
  <sheetFormatPr defaultRowHeight="15"/>
  <cols>
    <col collapsed="false" hidden="false" max="1" min="1" style="0" width="26.5918367346939"/>
    <col collapsed="false" hidden="false" max="2" min="2" style="0" width="23.7602040816327"/>
    <col collapsed="false" hidden="false" max="3" min="3" style="0" width="10.9336734693878"/>
    <col collapsed="false" hidden="false" max="4" min="4" style="0" width="40.5"/>
    <col collapsed="false" hidden="false" max="5" min="5" style="0" width="23.6224489795918"/>
    <col collapsed="false" hidden="false" max="1025" min="6" style="0" width="8.50510204081633"/>
  </cols>
  <sheetData>
    <row r="1" customFormat="false" ht="15" hidden="false" customHeight="false" outlineLevel="0" collapsed="false">
      <c r="A1" s="65" t="s">
        <v>86</v>
      </c>
      <c r="B1" s="65" t="s">
        <v>105</v>
      </c>
      <c r="C1" s="65" t="s">
        <v>106</v>
      </c>
      <c r="D1" s="65" t="s">
        <v>107</v>
      </c>
      <c r="E1" s="65" t="s">
        <v>108</v>
      </c>
    </row>
    <row r="2" customFormat="false" ht="15" hidden="false" customHeight="false" outlineLevel="0" collapsed="false">
      <c r="A2" s="0" t="s">
        <v>28</v>
      </c>
      <c r="C2" s="0" t="s">
        <v>32</v>
      </c>
      <c r="D2" s="0" t="str">
        <f aca="false">A2&amp;B2&amp;C2</f>
        <v>ScienceDoctorates</v>
      </c>
      <c r="E2" s="0" t="s">
        <v>109</v>
      </c>
    </row>
    <row r="3" customFormat="false" ht="15" hidden="false" customHeight="false" outlineLevel="0" collapsed="false">
      <c r="A3" s="0" t="s">
        <v>28</v>
      </c>
      <c r="C3" s="0" t="s">
        <v>38</v>
      </c>
      <c r="D3" s="0" t="str">
        <f aca="false">A3&amp;B3&amp;C3</f>
        <v>ScienceMasters</v>
      </c>
      <c r="E3" s="0" t="s">
        <v>110</v>
      </c>
    </row>
    <row r="4" customFormat="false" ht="15" hidden="false" customHeight="false" outlineLevel="0" collapsed="false">
      <c r="A4" s="0" t="s">
        <v>89</v>
      </c>
      <c r="C4" s="0" t="s">
        <v>32</v>
      </c>
      <c r="D4" s="0" t="str">
        <f aca="false">A4&amp;B4&amp;C4</f>
        <v>Agriculture and EnvironmentDoctorates</v>
      </c>
      <c r="E4" s="0" t="s">
        <v>111</v>
      </c>
    </row>
    <row r="5" customFormat="false" ht="15" hidden="false" customHeight="false" outlineLevel="0" collapsed="false">
      <c r="A5" s="0" t="s">
        <v>89</v>
      </c>
      <c r="C5" s="0" t="s">
        <v>38</v>
      </c>
      <c r="D5" s="0" t="str">
        <f aca="false">A5&amp;B5&amp;C5</f>
        <v>Agriculture and EnvironmentMasters</v>
      </c>
      <c r="E5" s="0" t="s">
        <v>112</v>
      </c>
    </row>
    <row r="6" customFormat="false" ht="15" hidden="false" customHeight="false" outlineLevel="0" collapsed="false">
      <c r="A6" s="0" t="s">
        <v>93</v>
      </c>
      <c r="C6" s="0" t="s">
        <v>32</v>
      </c>
      <c r="D6" s="0" t="str">
        <f aca="false">A6&amp;B6&amp;C6</f>
        <v>BusinessDoctorates</v>
      </c>
      <c r="E6" s="0" t="s">
        <v>113</v>
      </c>
    </row>
    <row r="7" customFormat="false" ht="15" hidden="false" customHeight="false" outlineLevel="0" collapsed="false">
      <c r="A7" s="0" t="s">
        <v>93</v>
      </c>
      <c r="C7" s="0" t="s">
        <v>38</v>
      </c>
      <c r="D7" s="0" t="str">
        <f aca="false">A7&amp;B7&amp;C7</f>
        <v>BusinessMasters</v>
      </c>
      <c r="E7" s="0" t="s">
        <v>114</v>
      </c>
    </row>
    <row r="8" customFormat="false" ht="15" hidden="false" customHeight="false" outlineLevel="0" collapsed="false">
      <c r="A8" s="0" t="s">
        <v>91</v>
      </c>
      <c r="D8" s="0" t="str">
        <f aca="false">A8&amp;B8&amp;C8</f>
        <v>Architecture</v>
      </c>
      <c r="E8" s="0" t="s">
        <v>91</v>
      </c>
    </row>
    <row r="9" customFormat="false" ht="15" hidden="false" customHeight="false" outlineLevel="0" collapsed="false">
      <c r="A9" s="0" t="s">
        <v>95</v>
      </c>
      <c r="C9" s="0" t="s">
        <v>32</v>
      </c>
      <c r="D9" s="0" t="str">
        <f aca="false">A9&amp;B9&amp;C9</f>
        <v>DentistryDoctorates</v>
      </c>
      <c r="E9" s="0" t="s">
        <v>115</v>
      </c>
    </row>
    <row r="10" customFormat="false" ht="15" hidden="false" customHeight="false" outlineLevel="0" collapsed="false">
      <c r="A10" s="0" t="s">
        <v>95</v>
      </c>
      <c r="C10" s="0" t="s">
        <v>38</v>
      </c>
      <c r="D10" s="0" t="str">
        <f aca="false">A10&amp;B10&amp;C10</f>
        <v>DentistryMasters</v>
      </c>
      <c r="E10" s="0" t="s">
        <v>116</v>
      </c>
    </row>
    <row r="11" customFormat="false" ht="15" hidden="false" customHeight="false" outlineLevel="0" collapsed="false">
      <c r="A11" s="0" t="s">
        <v>96</v>
      </c>
      <c r="C11" s="0" t="s">
        <v>32</v>
      </c>
      <c r="D11" s="0" t="str">
        <f aca="false">A11&amp;B11&amp;C11</f>
        <v>Education and Social WorkDoctorates</v>
      </c>
      <c r="E11" s="0" t="s">
        <v>117</v>
      </c>
    </row>
    <row r="12" customFormat="false" ht="15" hidden="false" customHeight="false" outlineLevel="0" collapsed="false">
      <c r="A12" s="0" t="s">
        <v>96</v>
      </c>
      <c r="C12" s="0" t="s">
        <v>38</v>
      </c>
      <c r="D12" s="0" t="str">
        <f aca="false">A12&amp;B12&amp;C12</f>
        <v>Education and Social WorkMasters</v>
      </c>
      <c r="E12" s="0" t="s">
        <v>118</v>
      </c>
    </row>
    <row r="13" customFormat="false" ht="15" hidden="false" customHeight="false" outlineLevel="0" collapsed="false">
      <c r="A13" s="0" t="s">
        <v>97</v>
      </c>
      <c r="D13" s="0" t="str">
        <f aca="false">A13&amp;B13&amp;C13</f>
        <v>Engineering and IT</v>
      </c>
      <c r="E13" s="0" t="s">
        <v>119</v>
      </c>
    </row>
    <row r="14" customFormat="false" ht="15" hidden="false" customHeight="false" outlineLevel="0" collapsed="false">
      <c r="A14" s="0" t="s">
        <v>97</v>
      </c>
      <c r="B14" s="0" t="s">
        <v>90</v>
      </c>
      <c r="D14" s="0" t="str">
        <f aca="false">A14&amp;B14&amp;C14</f>
        <v>Engineering and ITInformation Technologies</v>
      </c>
      <c r="E14" s="0" t="s">
        <v>120</v>
      </c>
    </row>
    <row r="15" customFormat="false" ht="15" hidden="false" customHeight="false" outlineLevel="0" collapsed="false">
      <c r="A15" s="0" t="s">
        <v>92</v>
      </c>
      <c r="D15" s="0" t="str">
        <f aca="false">A15&amp;B15&amp;C15</f>
        <v>Arts and Social Sciences</v>
      </c>
      <c r="E15" s="0" t="s">
        <v>121</v>
      </c>
    </row>
    <row r="16" customFormat="false" ht="15" hidden="false" customHeight="false" outlineLevel="0" collapsed="false">
      <c r="A16" s="0" t="s">
        <v>98</v>
      </c>
      <c r="D16" s="0" t="str">
        <f aca="false">A16&amp;B16&amp;C16</f>
        <v>Health Sciences</v>
      </c>
      <c r="E16" s="0" t="s">
        <v>122</v>
      </c>
    </row>
    <row r="17" customFormat="false" ht="15" hidden="false" customHeight="false" outlineLevel="0" collapsed="false">
      <c r="A17" s="0" t="s">
        <v>100</v>
      </c>
      <c r="C17" s="0" t="s">
        <v>32</v>
      </c>
      <c r="D17" s="0" t="str">
        <f aca="false">A17&amp;B17&amp;C17</f>
        <v>MedicineDoctorates</v>
      </c>
      <c r="E17" s="0" t="s">
        <v>123</v>
      </c>
    </row>
    <row r="18" customFormat="false" ht="15" hidden="false" customHeight="false" outlineLevel="0" collapsed="false">
      <c r="A18" s="0" t="s">
        <v>100</v>
      </c>
      <c r="C18" s="0" t="s">
        <v>38</v>
      </c>
      <c r="D18" s="0" t="str">
        <f aca="false">A18&amp;B18&amp;C18</f>
        <v>MedicineMasters</v>
      </c>
      <c r="E18" s="0" t="s">
        <v>124</v>
      </c>
    </row>
    <row r="19" customFormat="false" ht="15" hidden="false" customHeight="false" outlineLevel="0" collapsed="false">
      <c r="A19" s="0" t="s">
        <v>101</v>
      </c>
      <c r="C19" s="0" t="s">
        <v>32</v>
      </c>
      <c r="D19" s="0" t="str">
        <f aca="false">A19&amp;B19&amp;C19</f>
        <v>NursingDoctorates</v>
      </c>
      <c r="E19" s="0" t="s">
        <v>125</v>
      </c>
    </row>
    <row r="20" customFormat="false" ht="15" hidden="false" customHeight="false" outlineLevel="0" collapsed="false">
      <c r="A20" s="0" t="s">
        <v>101</v>
      </c>
      <c r="C20" s="0" t="s">
        <v>38</v>
      </c>
      <c r="D20" s="0" t="str">
        <f aca="false">A20&amp;B20&amp;C20</f>
        <v>NursingMasters</v>
      </c>
      <c r="E20" s="0" t="s">
        <v>126</v>
      </c>
    </row>
    <row r="21" customFormat="false" ht="15" hidden="false" customHeight="false" outlineLevel="0" collapsed="false">
      <c r="A21" s="0" t="s">
        <v>104</v>
      </c>
      <c r="C21" s="0" t="s">
        <v>32</v>
      </c>
      <c r="D21" s="0" t="str">
        <f aca="false">A21&amp;B21&amp;C21</f>
        <v>Veterinary ScienceDoctorates</v>
      </c>
      <c r="E21" s="0" t="s">
        <v>127</v>
      </c>
    </row>
    <row r="22" customFormat="false" ht="15" hidden="false" customHeight="false" outlineLevel="0" collapsed="false">
      <c r="A22" s="0" t="s">
        <v>104</v>
      </c>
      <c r="C22" s="0" t="s">
        <v>38</v>
      </c>
      <c r="D22" s="0" t="str">
        <f aca="false">A22&amp;B22&amp;C22</f>
        <v>Veterinary ScienceMasters</v>
      </c>
      <c r="E22" s="0" t="s">
        <v>128</v>
      </c>
    </row>
    <row r="23" customFormat="false" ht="15" hidden="false" customHeight="false" outlineLevel="0" collapsed="false">
      <c r="A23" s="0" t="s">
        <v>99</v>
      </c>
      <c r="C23" s="0" t="s">
        <v>32</v>
      </c>
      <c r="D23" s="0" t="str">
        <f aca="false">A23&amp;B23&amp;C23</f>
        <v>LawDoctorates</v>
      </c>
      <c r="E23" s="0" t="s">
        <v>129</v>
      </c>
    </row>
    <row r="24" customFormat="false" ht="15" hidden="false" customHeight="false" outlineLevel="0" collapsed="false">
      <c r="A24" s="0" t="s">
        <v>99</v>
      </c>
      <c r="C24" s="0" t="s">
        <v>38</v>
      </c>
      <c r="D24" s="0" t="str">
        <f aca="false">A24&amp;B24&amp;C24</f>
        <v>LawMasters</v>
      </c>
      <c r="E24" s="0" t="s">
        <v>130</v>
      </c>
    </row>
    <row r="25" customFormat="false" ht="15" hidden="false" customHeight="false" outlineLevel="0" collapsed="false">
      <c r="A25" s="0" t="s">
        <v>94</v>
      </c>
      <c r="C25" s="0" t="s">
        <v>32</v>
      </c>
      <c r="D25" s="0" t="str">
        <f aca="false">A25&amp;B25&amp;C25</f>
        <v>ConservatoriumDoctorates</v>
      </c>
      <c r="E25" s="0" t="s">
        <v>131</v>
      </c>
    </row>
    <row r="26" customFormat="false" ht="15" hidden="false" customHeight="false" outlineLevel="0" collapsed="false">
      <c r="A26" s="0" t="s">
        <v>94</v>
      </c>
      <c r="C26" s="0" t="s">
        <v>38</v>
      </c>
      <c r="D26" s="0" t="str">
        <f aca="false">A26&amp;B26&amp;C26</f>
        <v>ConservatoriumMasters</v>
      </c>
      <c r="E26" s="0" t="s">
        <v>132</v>
      </c>
    </row>
    <row r="27" customFormat="false" ht="15" hidden="false" customHeight="false" outlineLevel="0" collapsed="false">
      <c r="A27" s="0" t="s">
        <v>103</v>
      </c>
      <c r="C27" s="0" t="s">
        <v>32</v>
      </c>
      <c r="D27" s="0" t="str">
        <f aca="false">A27&amp;B27&amp;C27</f>
        <v>Sydney College of the ArtsDoctorates</v>
      </c>
      <c r="E27" s="0" t="s">
        <v>133</v>
      </c>
    </row>
    <row r="28" customFormat="false" ht="15" hidden="false" customHeight="false" outlineLevel="0" collapsed="false">
      <c r="A28" s="0" t="s">
        <v>103</v>
      </c>
      <c r="C28" s="0" t="s">
        <v>38</v>
      </c>
      <c r="D28" s="0" t="str">
        <f aca="false">A28&amp;B28&amp;C28</f>
        <v>Sydney College of the ArtsMasters</v>
      </c>
      <c r="E28" s="0" t="s">
        <v>134</v>
      </c>
    </row>
    <row r="29" customFormat="false" ht="15" hidden="false" customHeight="false" outlineLevel="0" collapsed="false">
      <c r="D29" s="0" t="str">
        <f aca="false">A29&amp;B29&amp;C29</f>
        <v/>
      </c>
    </row>
    <row r="30" customFormat="false" ht="15" hidden="false" customHeight="false" outlineLevel="0" collapsed="false">
      <c r="D30" s="0" t="str">
        <f aca="false">A30&amp;B30&amp;C30</f>
        <v/>
      </c>
    </row>
    <row r="31" customFormat="false" ht="15" hidden="false" customHeight="false" outlineLevel="0" collapsed="false">
      <c r="D31" s="0" t="str">
        <f aca="false">A31&amp;B31&amp;C31</f>
        <v/>
      </c>
    </row>
    <row r="32" customFormat="false" ht="15" hidden="false" customHeight="false" outlineLevel="0" collapsed="false">
      <c r="D32" s="0" t="str">
        <f aca="false">A32&amp;B32&amp;C32</f>
        <v/>
      </c>
    </row>
    <row r="33" customFormat="false" ht="15" hidden="false" customHeight="false" outlineLevel="0" collapsed="false">
      <c r="D33" s="0" t="str">
        <f aca="false">A33&amp;B33&amp;C33</f>
        <v/>
      </c>
    </row>
    <row r="34" customFormat="false" ht="15" hidden="false" customHeight="false" outlineLevel="0" collapsed="false">
      <c r="D34" s="0" t="str">
        <f aca="false">A34&amp;B34&amp;C34</f>
        <v/>
      </c>
    </row>
    <row r="35" customFormat="false" ht="15" hidden="false" customHeight="false" outlineLevel="0" collapsed="false">
      <c r="D35" s="0" t="str">
        <f aca="false">A35&amp;B35&amp;C35</f>
        <v/>
      </c>
    </row>
    <row r="36" customFormat="false" ht="15" hidden="false" customHeight="false" outlineLevel="0" collapsed="false">
      <c r="D36" s="0" t="str">
        <f aca="false">A36&amp;B36&amp;C36</f>
        <v/>
      </c>
    </row>
    <row r="37" customFormat="false" ht="15" hidden="false" customHeight="false" outlineLevel="0" collapsed="false">
      <c r="D37" s="0" t="str">
        <f aca="false">A37&amp;B37&amp;C37</f>
        <v/>
      </c>
    </row>
    <row r="38" customFormat="false" ht="15" hidden="false" customHeight="false" outlineLevel="0" collapsed="false">
      <c r="D38" s="0" t="str">
        <f aca="false">A38&amp;B38&amp;C38</f>
        <v/>
      </c>
    </row>
    <row r="39" customFormat="false" ht="15" hidden="false" customHeight="false" outlineLevel="0" collapsed="false">
      <c r="D39" s="0" t="str">
        <f aca="false">A39&amp;B39&amp;C39</f>
        <v/>
      </c>
    </row>
    <row r="40" customFormat="false" ht="15" hidden="false" customHeight="false" outlineLevel="0" collapsed="false">
      <c r="D40" s="0" t="str">
        <f aca="false">A40&amp;B40&amp;C40</f>
        <v/>
      </c>
    </row>
    <row r="41" customFormat="false" ht="15" hidden="false" customHeight="false" outlineLevel="0" collapsed="false">
      <c r="D41" s="0" t="str">
        <f aca="false">A41&amp;B41&amp;C41</f>
        <v/>
      </c>
    </row>
    <row r="42" customFormat="false" ht="15" hidden="false" customHeight="false" outlineLevel="0" collapsed="false">
      <c r="D42" s="0" t="str">
        <f aca="false">A42&amp;B42&amp;C42</f>
        <v/>
      </c>
    </row>
    <row r="43" customFormat="false" ht="15" hidden="false" customHeight="false" outlineLevel="0" collapsed="false">
      <c r="D43" s="0" t="str">
        <f aca="false">A43&amp;B43&amp;C43</f>
        <v/>
      </c>
    </row>
    <row r="44" customFormat="false" ht="15" hidden="false" customHeight="false" outlineLevel="0" collapsed="false">
      <c r="D44" s="0" t="str">
        <f aca="false">A44&amp;B44&amp;C44</f>
        <v/>
      </c>
    </row>
    <row r="45" customFormat="false" ht="15" hidden="false" customHeight="false" outlineLevel="0" collapsed="false">
      <c r="D45" s="0" t="str">
        <f aca="false">A45&amp;B45&amp;C45</f>
        <v/>
      </c>
    </row>
    <row r="46" customFormat="false" ht="15" hidden="false" customHeight="false" outlineLevel="0" collapsed="false">
      <c r="D46" s="0" t="str">
        <f aca="false">A46&amp;B46&amp;C46</f>
        <v/>
      </c>
    </row>
    <row r="47" customFormat="false" ht="15" hidden="false" customHeight="false" outlineLevel="0" collapsed="false">
      <c r="D47" s="0" t="str">
        <f aca="false">A47&amp;B47&amp;C47</f>
        <v/>
      </c>
    </row>
    <row r="48" customFormat="false" ht="15" hidden="false" customHeight="false" outlineLevel="0" collapsed="false">
      <c r="D48" s="0" t="str">
        <f aca="false">A48&amp;B48&amp;C48</f>
        <v/>
      </c>
    </row>
    <row r="49" customFormat="false" ht="15" hidden="false" customHeight="false" outlineLevel="0" collapsed="false">
      <c r="D49" s="0" t="str">
        <f aca="false">A49&amp;B49&amp;C49</f>
        <v/>
      </c>
    </row>
    <row r="50" customFormat="false" ht="15" hidden="false" customHeight="false" outlineLevel="0" collapsed="false">
      <c r="D50" s="0" t="str">
        <f aca="false">A50&amp;B50&amp;C50</f>
        <v/>
      </c>
    </row>
    <row r="51" customFormat="false" ht="15" hidden="false" customHeight="false" outlineLevel="0" collapsed="false">
      <c r="D51" s="0" t="str">
        <f aca="false">A51&amp;B51&amp;C51</f>
        <v/>
      </c>
    </row>
    <row r="52" customFormat="false" ht="15" hidden="false" customHeight="false" outlineLevel="0" collapsed="false">
      <c r="D52" s="0" t="str">
        <f aca="false">A52&amp;B52&amp;C52</f>
        <v/>
      </c>
    </row>
    <row r="53" customFormat="false" ht="15" hidden="false" customHeight="false" outlineLevel="0" collapsed="false">
      <c r="D53" s="0" t="str">
        <f aca="false">A53&amp;B53&amp;C53</f>
        <v/>
      </c>
    </row>
    <row r="54" customFormat="false" ht="15" hidden="false" customHeight="false" outlineLevel="0" collapsed="false">
      <c r="D54" s="0" t="str">
        <f aca="false">A54&amp;B54&amp;C54</f>
        <v/>
      </c>
    </row>
    <row r="55" customFormat="false" ht="15" hidden="false" customHeight="false" outlineLevel="0" collapsed="false">
      <c r="D55" s="0" t="str">
        <f aca="false">A55&amp;B55&amp;C55</f>
        <v/>
      </c>
    </row>
    <row r="56" customFormat="false" ht="15" hidden="false" customHeight="false" outlineLevel="0" collapsed="false">
      <c r="D56" s="0" t="str">
        <f aca="false">A56&amp;B56&amp;C56</f>
        <v/>
      </c>
    </row>
    <row r="57" customFormat="false" ht="15" hidden="false" customHeight="false" outlineLevel="0" collapsed="false">
      <c r="D57" s="0" t="str">
        <f aca="false">A57&amp;B57&amp;C57</f>
        <v/>
      </c>
    </row>
    <row r="58" customFormat="false" ht="15" hidden="false" customHeight="false" outlineLevel="0" collapsed="false">
      <c r="D58" s="0" t="str">
        <f aca="false">A58&amp;B58&amp;C58</f>
        <v/>
      </c>
    </row>
    <row r="59" customFormat="false" ht="15" hidden="false" customHeight="false" outlineLevel="0" collapsed="false">
      <c r="D59" s="0" t="str">
        <f aca="false">A59&amp;B59&amp;C59</f>
        <v/>
      </c>
    </row>
    <row r="60" customFormat="false" ht="15" hidden="false" customHeight="false" outlineLevel="0" collapsed="false">
      <c r="D60" s="0" t="str">
        <f aca="false">A60&amp;B60&amp;C60</f>
        <v/>
      </c>
    </row>
    <row r="61" customFormat="false" ht="15" hidden="false" customHeight="false" outlineLevel="0" collapsed="false">
      <c r="D61" s="0" t="str">
        <f aca="false">A61&amp;B61&amp;C61</f>
        <v/>
      </c>
    </row>
    <row r="62" customFormat="false" ht="15" hidden="false" customHeight="false" outlineLevel="0" collapsed="false">
      <c r="D62" s="0" t="str">
        <f aca="false">A62&amp;B62&amp;C62</f>
        <v/>
      </c>
    </row>
    <row r="63" customFormat="false" ht="15" hidden="false" customHeight="false" outlineLevel="0" collapsed="false">
      <c r="D63" s="0" t="str">
        <f aca="false">A63&amp;B63&amp;C63</f>
        <v/>
      </c>
    </row>
    <row r="64" customFormat="false" ht="15" hidden="false" customHeight="false" outlineLevel="0" collapsed="false">
      <c r="D64" s="0" t="str">
        <f aca="false">A64&amp;B64&amp;C64</f>
        <v/>
      </c>
    </row>
    <row r="65" customFormat="false" ht="15" hidden="false" customHeight="false" outlineLevel="0" collapsed="false">
      <c r="D65" s="0" t="str">
        <f aca="false">A65&amp;B65&amp;C65</f>
        <v/>
      </c>
    </row>
    <row r="66" customFormat="false" ht="15" hidden="false" customHeight="false" outlineLevel="0" collapsed="false">
      <c r="D66" s="0" t="str">
        <f aca="false">A66&amp;B66&amp;C66</f>
        <v/>
      </c>
    </row>
    <row r="67" customFormat="false" ht="15" hidden="false" customHeight="false" outlineLevel="0" collapsed="false">
      <c r="D67" s="0" t="str">
        <f aca="false">A67&amp;B67&amp;C67</f>
        <v/>
      </c>
    </row>
    <row r="68" customFormat="false" ht="15" hidden="false" customHeight="false" outlineLevel="0" collapsed="false">
      <c r="D68" s="0" t="str">
        <f aca="false">A68&amp;B68&amp;C68</f>
        <v/>
      </c>
    </row>
    <row r="69" customFormat="false" ht="15" hidden="false" customHeight="false" outlineLevel="0" collapsed="false">
      <c r="D69" s="0" t="str">
        <f aca="false">A69&amp;B69&amp;C69</f>
        <v/>
      </c>
    </row>
    <row r="70" customFormat="false" ht="15" hidden="false" customHeight="false" outlineLevel="0" collapsed="false">
      <c r="D70" s="0" t="str">
        <f aca="false">A70&amp;B70&amp;C70</f>
        <v/>
      </c>
    </row>
    <row r="71" customFormat="false" ht="15" hidden="false" customHeight="false" outlineLevel="0" collapsed="false">
      <c r="D71" s="0" t="str">
        <f aca="false">A71&amp;B71&amp;C71</f>
        <v/>
      </c>
    </row>
    <row r="72" customFormat="false" ht="15" hidden="false" customHeight="false" outlineLevel="0" collapsed="false">
      <c r="D72" s="0" t="str">
        <f aca="false">A72&amp;B72&amp;C72</f>
        <v/>
      </c>
    </row>
    <row r="73" customFormat="false" ht="15" hidden="false" customHeight="false" outlineLevel="0" collapsed="false">
      <c r="D73" s="0" t="str">
        <f aca="false">A73&amp;B73&amp;C73</f>
        <v/>
      </c>
    </row>
    <row r="74" customFormat="false" ht="15" hidden="false" customHeight="false" outlineLevel="0" collapsed="false">
      <c r="D74" s="0" t="str">
        <f aca="false">A74&amp;B74&amp;C74</f>
        <v/>
      </c>
    </row>
    <row r="75" customFormat="false" ht="15" hidden="false" customHeight="false" outlineLevel="0" collapsed="false">
      <c r="D75" s="0" t="str">
        <f aca="false">A75&amp;B75&amp;C75</f>
        <v/>
      </c>
    </row>
    <row r="76" customFormat="false" ht="15" hidden="false" customHeight="false" outlineLevel="0" collapsed="false">
      <c r="D76" s="0" t="str">
        <f aca="false">A76&amp;B76&amp;C76</f>
        <v/>
      </c>
    </row>
    <row r="77" customFormat="false" ht="15" hidden="false" customHeight="false" outlineLevel="0" collapsed="false">
      <c r="D77" s="0" t="str">
        <f aca="false">A77&amp;B77&amp;C77</f>
        <v/>
      </c>
    </row>
    <row r="78" customFormat="false" ht="15" hidden="false" customHeight="false" outlineLevel="0" collapsed="false">
      <c r="D78" s="0" t="str">
        <f aca="false">A78&amp;B78&amp;C78</f>
        <v/>
      </c>
    </row>
    <row r="79" customFormat="false" ht="15" hidden="false" customHeight="false" outlineLevel="0" collapsed="false">
      <c r="D79" s="0" t="str">
        <f aca="false">A79&amp;B79&amp;C79</f>
        <v/>
      </c>
    </row>
    <row r="80" customFormat="false" ht="15" hidden="false" customHeight="false" outlineLevel="0" collapsed="false">
      <c r="D80" s="0" t="str">
        <f aca="false">A80&amp;B80&amp;C80</f>
        <v/>
      </c>
    </row>
    <row r="81" customFormat="false" ht="15" hidden="false" customHeight="false" outlineLevel="0" collapsed="false">
      <c r="D81" s="0" t="str">
        <f aca="false">A81&amp;B81&amp;C81</f>
        <v/>
      </c>
    </row>
    <row r="82" customFormat="false" ht="15" hidden="false" customHeight="false" outlineLevel="0" collapsed="false">
      <c r="D82" s="0" t="str">
        <f aca="false">A82&amp;B82&amp;C82</f>
        <v/>
      </c>
    </row>
    <row r="83" customFormat="false" ht="15" hidden="false" customHeight="false" outlineLevel="0" collapsed="false">
      <c r="D83" s="0" t="str">
        <f aca="false">A83&amp;B83&amp;C83</f>
        <v/>
      </c>
    </row>
    <row r="84" customFormat="false" ht="15" hidden="false" customHeight="false" outlineLevel="0" collapsed="false">
      <c r="D84" s="0" t="str">
        <f aca="false">A84&amp;B84&amp;C84</f>
        <v/>
      </c>
    </row>
    <row r="85" customFormat="false" ht="15" hidden="false" customHeight="false" outlineLevel="0" collapsed="false">
      <c r="D85" s="0" t="str">
        <f aca="false">A85&amp;B85&amp;C85</f>
        <v/>
      </c>
    </row>
    <row r="86" customFormat="false" ht="15" hidden="false" customHeight="false" outlineLevel="0" collapsed="false">
      <c r="D86" s="0" t="str">
        <f aca="false">A86&amp;B86&amp;C86</f>
        <v/>
      </c>
    </row>
    <row r="87" customFormat="false" ht="15" hidden="false" customHeight="false" outlineLevel="0" collapsed="false">
      <c r="D87" s="0" t="str">
        <f aca="false">A87&amp;B87&amp;C87</f>
        <v/>
      </c>
    </row>
    <row r="88" customFormat="false" ht="15" hidden="false" customHeight="false" outlineLevel="0" collapsed="false">
      <c r="D88" s="0" t="str">
        <f aca="false">A88&amp;B88&amp;C88</f>
        <v/>
      </c>
    </row>
    <row r="89" customFormat="false" ht="15" hidden="false" customHeight="false" outlineLevel="0" collapsed="false">
      <c r="D89" s="0" t="str">
        <f aca="false">A89&amp;B89&amp;C89</f>
        <v/>
      </c>
    </row>
    <row r="90" customFormat="false" ht="15" hidden="false" customHeight="false" outlineLevel="0" collapsed="false">
      <c r="D90" s="0" t="str">
        <f aca="false">A90&amp;B90&amp;C90</f>
        <v/>
      </c>
    </row>
    <row r="91" customFormat="false" ht="15" hidden="false" customHeight="false" outlineLevel="0" collapsed="false">
      <c r="D91" s="0" t="str">
        <f aca="false">A91&amp;B91&amp;C91</f>
        <v/>
      </c>
    </row>
    <row r="92" customFormat="false" ht="15" hidden="false" customHeight="false" outlineLevel="0" collapsed="false">
      <c r="D92" s="0" t="str">
        <f aca="false">A92&amp;B92&amp;C92</f>
        <v/>
      </c>
    </row>
    <row r="93" customFormat="false" ht="15" hidden="false" customHeight="false" outlineLevel="0" collapsed="false">
      <c r="D93" s="0" t="str">
        <f aca="false">A93&amp;B93&amp;C93</f>
        <v/>
      </c>
    </row>
    <row r="94" customFormat="false" ht="15" hidden="false" customHeight="false" outlineLevel="0" collapsed="false">
      <c r="D94" s="0" t="str">
        <f aca="false">A94&amp;B94&amp;C94</f>
        <v/>
      </c>
    </row>
    <row r="95" customFormat="false" ht="15" hidden="false" customHeight="false" outlineLevel="0" collapsed="false">
      <c r="D95" s="0" t="str">
        <f aca="false">A95&amp;B95&amp;C95</f>
        <v/>
      </c>
    </row>
    <row r="96" customFormat="false" ht="15" hidden="false" customHeight="false" outlineLevel="0" collapsed="false">
      <c r="D96" s="0" t="str">
        <f aca="false">A96&amp;B96&amp;C96</f>
        <v/>
      </c>
    </row>
    <row r="97" customFormat="false" ht="15" hidden="false" customHeight="false" outlineLevel="0" collapsed="false">
      <c r="D97" s="0" t="str">
        <f aca="false">A97&amp;B97&amp;C97</f>
        <v/>
      </c>
    </row>
    <row r="98" customFormat="false" ht="15" hidden="false" customHeight="false" outlineLevel="0" collapsed="false">
      <c r="D98" s="0" t="str">
        <f aca="false">A98&amp;B98&amp;C98</f>
        <v/>
      </c>
    </row>
    <row r="99" customFormat="false" ht="15" hidden="false" customHeight="false" outlineLevel="0" collapsed="false">
      <c r="D99" s="0" t="str">
        <f aca="false">A99&amp;B99&amp;C99</f>
        <v/>
      </c>
    </row>
    <row r="100" customFormat="false" ht="15" hidden="false" customHeight="false" outlineLevel="0" collapsed="false">
      <c r="D100" s="0" t="str">
        <f aca="false">A100&amp;B100&amp;C100</f>
        <v/>
      </c>
    </row>
    <row r="101" customFormat="false" ht="15" hidden="false" customHeight="false" outlineLevel="0" collapsed="false">
      <c r="D101" s="0" t="str">
        <f aca="false">A101&amp;B101&amp;C101</f>
        <v/>
      </c>
    </row>
    <row r="102" customFormat="false" ht="15" hidden="false" customHeight="false" outlineLevel="0" collapsed="false">
      <c r="D102" s="0" t="str">
        <f aca="false">A102&amp;B102&amp;C102</f>
        <v/>
      </c>
    </row>
    <row r="103" customFormat="false" ht="15" hidden="false" customHeight="false" outlineLevel="0" collapsed="false">
      <c r="D103" s="0" t="str">
        <f aca="false">A103&amp;B103&amp;C103</f>
        <v/>
      </c>
    </row>
    <row r="104" customFormat="false" ht="15" hidden="false" customHeight="false" outlineLevel="0" collapsed="false">
      <c r="D104" s="0" t="str">
        <f aca="false">A104&amp;B104&amp;C104</f>
        <v/>
      </c>
    </row>
    <row r="105" customFormat="false" ht="15" hidden="false" customHeight="false" outlineLevel="0" collapsed="false">
      <c r="D105" s="0" t="str">
        <f aca="false">A105&amp;B105&amp;C105</f>
        <v/>
      </c>
    </row>
    <row r="106" customFormat="false" ht="15" hidden="false" customHeight="false" outlineLevel="0" collapsed="false">
      <c r="D106" s="0" t="str">
        <f aca="false">A106&amp;B106&amp;C106</f>
        <v/>
      </c>
    </row>
    <row r="107" customFormat="false" ht="15" hidden="false" customHeight="false" outlineLevel="0" collapsed="false">
      <c r="D107" s="0" t="str">
        <f aca="false">A107&amp;B107&amp;C107</f>
        <v/>
      </c>
    </row>
    <row r="108" customFormat="false" ht="15" hidden="false" customHeight="false" outlineLevel="0" collapsed="false">
      <c r="D108" s="0" t="str">
        <f aca="false">A108&amp;B108&amp;C108</f>
        <v/>
      </c>
    </row>
    <row r="109" customFormat="false" ht="15" hidden="false" customHeight="false" outlineLevel="0" collapsed="false">
      <c r="D109" s="0" t="str">
        <f aca="false">A109&amp;B109&amp;C109</f>
        <v/>
      </c>
    </row>
    <row r="110" customFormat="false" ht="15" hidden="false" customHeight="false" outlineLevel="0" collapsed="false">
      <c r="D110" s="0" t="str">
        <f aca="false">A110&amp;B110&amp;C110</f>
        <v/>
      </c>
    </row>
    <row r="111" customFormat="false" ht="15" hidden="false" customHeight="false" outlineLevel="0" collapsed="false">
      <c r="D111" s="0" t="str">
        <f aca="false">A111&amp;B111&amp;C111</f>
        <v/>
      </c>
    </row>
    <row r="112" customFormat="false" ht="15" hidden="false" customHeight="false" outlineLevel="0" collapsed="false">
      <c r="D112" s="0" t="str">
        <f aca="false">A112&amp;B112&amp;C112</f>
        <v/>
      </c>
    </row>
    <row r="113" customFormat="false" ht="15" hidden="false" customHeight="false" outlineLevel="0" collapsed="false">
      <c r="D113" s="0" t="str">
        <f aca="false">A113&amp;B113&amp;C113</f>
        <v/>
      </c>
    </row>
    <row r="114" customFormat="false" ht="15" hidden="false" customHeight="false" outlineLevel="0" collapsed="false">
      <c r="D114" s="0" t="str">
        <f aca="false">A114&amp;B114&amp;C114</f>
        <v/>
      </c>
    </row>
    <row r="115" customFormat="false" ht="15" hidden="false" customHeight="false" outlineLevel="0" collapsed="false">
      <c r="D115" s="0" t="str">
        <f aca="false">A115&amp;B115&amp;C115</f>
        <v/>
      </c>
    </row>
    <row r="116" customFormat="false" ht="15" hidden="false" customHeight="false" outlineLevel="0" collapsed="false">
      <c r="D116" s="0" t="str">
        <f aca="false">A116&amp;B116&amp;C116</f>
        <v/>
      </c>
    </row>
    <row r="117" customFormat="false" ht="15" hidden="false" customHeight="false" outlineLevel="0" collapsed="false">
      <c r="D117" s="0" t="str">
        <f aca="false">A117&amp;B117&amp;C117</f>
        <v/>
      </c>
    </row>
    <row r="118" customFormat="false" ht="15" hidden="false" customHeight="false" outlineLevel="0" collapsed="false">
      <c r="D118" s="0" t="str">
        <f aca="false">A118&amp;B118&amp;C118</f>
        <v/>
      </c>
    </row>
    <row r="119" customFormat="false" ht="15" hidden="false" customHeight="false" outlineLevel="0" collapsed="false">
      <c r="D119" s="0" t="str">
        <f aca="false">A119&amp;B119&amp;C119</f>
        <v/>
      </c>
    </row>
    <row r="120" customFormat="false" ht="15" hidden="false" customHeight="false" outlineLevel="0" collapsed="false">
      <c r="D120" s="0" t="str">
        <f aca="false">A120&amp;B120&amp;C120</f>
        <v/>
      </c>
    </row>
    <row r="121" customFormat="false" ht="15" hidden="false" customHeight="false" outlineLevel="0" collapsed="false">
      <c r="D121" s="0" t="str">
        <f aca="false">A121&amp;B121&amp;C121</f>
        <v/>
      </c>
    </row>
    <row r="122" customFormat="false" ht="15" hidden="false" customHeight="false" outlineLevel="0" collapsed="false">
      <c r="D122" s="0" t="str">
        <f aca="false">A122&amp;B122&amp;C122</f>
        <v/>
      </c>
    </row>
    <row r="123" customFormat="false" ht="15" hidden="false" customHeight="false" outlineLevel="0" collapsed="false">
      <c r="D123" s="0" t="str">
        <f aca="false">A123&amp;B123&amp;C123</f>
        <v/>
      </c>
    </row>
    <row r="124" customFormat="false" ht="15" hidden="false" customHeight="false" outlineLevel="0" collapsed="false">
      <c r="D124" s="0" t="str">
        <f aca="false">A124&amp;B124&amp;C124</f>
        <v/>
      </c>
    </row>
    <row r="125" customFormat="false" ht="15" hidden="false" customHeight="false" outlineLevel="0" collapsed="false">
      <c r="D125" s="0" t="str">
        <f aca="false">A125&amp;B125&amp;C125</f>
        <v/>
      </c>
    </row>
    <row r="126" customFormat="false" ht="15" hidden="false" customHeight="false" outlineLevel="0" collapsed="false">
      <c r="D126" s="0" t="str">
        <f aca="false">A126&amp;B126&amp;C126</f>
        <v/>
      </c>
    </row>
    <row r="127" customFormat="false" ht="15" hidden="false" customHeight="false" outlineLevel="0" collapsed="false">
      <c r="D127" s="0" t="str">
        <f aca="false">A127&amp;B127&amp;C127</f>
        <v/>
      </c>
    </row>
    <row r="128" customFormat="false" ht="15" hidden="false" customHeight="false" outlineLevel="0" collapsed="false">
      <c r="D128" s="0" t="str">
        <f aca="false">A128&amp;B128&amp;C128</f>
        <v/>
      </c>
    </row>
    <row r="129" customFormat="false" ht="15" hidden="false" customHeight="false" outlineLevel="0" collapsed="false">
      <c r="D129" s="0" t="str">
        <f aca="false">A129&amp;B129&amp;C129</f>
        <v/>
      </c>
    </row>
    <row r="130" customFormat="false" ht="15" hidden="false" customHeight="false" outlineLevel="0" collapsed="false">
      <c r="D130" s="0" t="str">
        <f aca="false">A130&amp;B130&amp;C130</f>
        <v/>
      </c>
    </row>
    <row r="131" customFormat="false" ht="15" hidden="false" customHeight="false" outlineLevel="0" collapsed="false">
      <c r="D131" s="0" t="str">
        <f aca="false">A131&amp;B131&amp;C131</f>
        <v/>
      </c>
    </row>
    <row r="132" customFormat="false" ht="15" hidden="false" customHeight="false" outlineLevel="0" collapsed="false">
      <c r="D132" s="0" t="str">
        <f aca="false">A132&amp;B132&amp;C132</f>
        <v/>
      </c>
    </row>
    <row r="133" customFormat="false" ht="15" hidden="false" customHeight="false" outlineLevel="0" collapsed="false">
      <c r="D133" s="0" t="str">
        <f aca="false">A133&amp;B133&amp;C133</f>
        <v/>
      </c>
    </row>
    <row r="134" customFormat="false" ht="15" hidden="false" customHeight="false" outlineLevel="0" collapsed="false">
      <c r="D134" s="0" t="str">
        <f aca="false">A134&amp;B134&amp;C134</f>
        <v/>
      </c>
    </row>
    <row r="135" customFormat="false" ht="15" hidden="false" customHeight="false" outlineLevel="0" collapsed="false">
      <c r="D135" s="0" t="str">
        <f aca="false">A135&amp;B135&amp;C135</f>
        <v/>
      </c>
    </row>
    <row r="136" customFormat="false" ht="15" hidden="false" customHeight="false" outlineLevel="0" collapsed="false">
      <c r="D136" s="0" t="str">
        <f aca="false">A136&amp;B136&amp;C136</f>
        <v/>
      </c>
    </row>
    <row r="137" customFormat="false" ht="15" hidden="false" customHeight="false" outlineLevel="0" collapsed="false">
      <c r="D137" s="0" t="str">
        <f aca="false">A137&amp;B137&amp;C137</f>
        <v/>
      </c>
    </row>
    <row r="138" customFormat="false" ht="15" hidden="false" customHeight="false" outlineLevel="0" collapsed="false">
      <c r="D138" s="0" t="str">
        <f aca="false">A138&amp;B138&amp;C138</f>
        <v/>
      </c>
    </row>
    <row r="139" customFormat="false" ht="15" hidden="false" customHeight="false" outlineLevel="0" collapsed="false">
      <c r="D139" s="0" t="str">
        <f aca="false">A139&amp;B139&amp;C139</f>
        <v/>
      </c>
    </row>
    <row r="140" customFormat="false" ht="15" hidden="false" customHeight="false" outlineLevel="0" collapsed="false">
      <c r="D140" s="0" t="str">
        <f aca="false">A140&amp;B140&amp;C140</f>
        <v/>
      </c>
    </row>
    <row r="141" customFormat="false" ht="15" hidden="false" customHeight="false" outlineLevel="0" collapsed="false">
      <c r="D141" s="0" t="str">
        <f aca="false">A141&amp;B141&amp;C141</f>
        <v/>
      </c>
    </row>
    <row r="142" customFormat="false" ht="15" hidden="false" customHeight="false" outlineLevel="0" collapsed="false">
      <c r="D142" s="0" t="str">
        <f aca="false">A142&amp;B142&amp;C142</f>
        <v/>
      </c>
    </row>
    <row r="143" customFormat="false" ht="15" hidden="false" customHeight="false" outlineLevel="0" collapsed="false">
      <c r="D143" s="0" t="str">
        <f aca="false">A143&amp;B143&amp;C143</f>
        <v/>
      </c>
    </row>
    <row r="144" customFormat="false" ht="15" hidden="false" customHeight="false" outlineLevel="0" collapsed="false">
      <c r="D144" s="0" t="str">
        <f aca="false">A144&amp;B144&amp;C144</f>
        <v/>
      </c>
    </row>
    <row r="145" customFormat="false" ht="15" hidden="false" customHeight="false" outlineLevel="0" collapsed="false">
      <c r="D145" s="0" t="str">
        <f aca="false">A145&amp;B145&amp;C145</f>
        <v/>
      </c>
    </row>
    <row r="146" customFormat="false" ht="15" hidden="false" customHeight="false" outlineLevel="0" collapsed="false">
      <c r="D146" s="0" t="str">
        <f aca="false">A146&amp;B146&amp;C146</f>
        <v/>
      </c>
    </row>
    <row r="147" customFormat="false" ht="15" hidden="false" customHeight="false" outlineLevel="0" collapsed="false">
      <c r="D147" s="0" t="str">
        <f aca="false">A147&amp;B147&amp;C147</f>
        <v/>
      </c>
    </row>
    <row r="148" customFormat="false" ht="15" hidden="false" customHeight="false" outlineLevel="0" collapsed="false">
      <c r="D148" s="0" t="str">
        <f aca="false">A148&amp;B148&amp;C148</f>
        <v/>
      </c>
    </row>
    <row r="149" customFormat="false" ht="15" hidden="false" customHeight="false" outlineLevel="0" collapsed="false">
      <c r="D149" s="0" t="str">
        <f aca="false">A149&amp;B149&amp;C149</f>
        <v/>
      </c>
    </row>
    <row r="150" customFormat="false" ht="15" hidden="false" customHeight="false" outlineLevel="0" collapsed="false">
      <c r="D150" s="0" t="str">
        <f aca="false">A150&amp;B150&amp;C150</f>
        <v/>
      </c>
    </row>
    <row r="151" customFormat="false" ht="15" hidden="false" customHeight="false" outlineLevel="0" collapsed="false">
      <c r="D151" s="0" t="str">
        <f aca="false">A151&amp;B151&amp;C151</f>
        <v/>
      </c>
    </row>
    <row r="152" customFormat="false" ht="15" hidden="false" customHeight="false" outlineLevel="0" collapsed="false">
      <c r="D152" s="0" t="str">
        <f aca="false">A152&amp;B152&amp;C152</f>
        <v/>
      </c>
    </row>
    <row r="153" customFormat="false" ht="15" hidden="false" customHeight="false" outlineLevel="0" collapsed="false">
      <c r="D153" s="0" t="str">
        <f aca="false">A153&amp;B153&amp;C153</f>
        <v/>
      </c>
    </row>
    <row r="154" customFormat="false" ht="15" hidden="false" customHeight="false" outlineLevel="0" collapsed="false">
      <c r="D154" s="0" t="str">
        <f aca="false">A154&amp;B154&amp;C154</f>
        <v/>
      </c>
    </row>
    <row r="155" customFormat="false" ht="15" hidden="false" customHeight="false" outlineLevel="0" collapsed="false">
      <c r="D155" s="0" t="str">
        <f aca="false">A155&amp;B155&amp;C155</f>
        <v/>
      </c>
    </row>
    <row r="156" customFormat="false" ht="15" hidden="false" customHeight="false" outlineLevel="0" collapsed="false">
      <c r="D156" s="0" t="str">
        <f aca="false">A156&amp;B156&amp;C156</f>
        <v/>
      </c>
    </row>
    <row r="157" customFormat="false" ht="15" hidden="false" customHeight="false" outlineLevel="0" collapsed="false">
      <c r="D157" s="0" t="str">
        <f aca="false">A157&amp;B157&amp;C157</f>
        <v/>
      </c>
    </row>
    <row r="158" customFormat="false" ht="15" hidden="false" customHeight="false" outlineLevel="0" collapsed="false">
      <c r="D158" s="0" t="str">
        <f aca="false">A158&amp;B158&amp;C158</f>
        <v/>
      </c>
    </row>
    <row r="159" customFormat="false" ht="15" hidden="false" customHeight="false" outlineLevel="0" collapsed="false">
      <c r="D159" s="0" t="str">
        <f aca="false">A159&amp;B159&amp;C159</f>
        <v/>
      </c>
    </row>
    <row r="160" customFormat="false" ht="15" hidden="false" customHeight="false" outlineLevel="0" collapsed="false">
      <c r="D160" s="0" t="str">
        <f aca="false">A160&amp;B160&amp;C160</f>
        <v/>
      </c>
    </row>
    <row r="161" customFormat="false" ht="15" hidden="false" customHeight="false" outlineLevel="0" collapsed="false">
      <c r="D161" s="0" t="str">
        <f aca="false">A161&amp;B161&amp;C161</f>
        <v/>
      </c>
    </row>
    <row r="162" customFormat="false" ht="15" hidden="false" customHeight="false" outlineLevel="0" collapsed="false">
      <c r="D162" s="0" t="str">
        <f aca="false">A162&amp;B162&amp;C162</f>
        <v/>
      </c>
    </row>
    <row r="163" customFormat="false" ht="15" hidden="false" customHeight="false" outlineLevel="0" collapsed="false">
      <c r="D163" s="0" t="str">
        <f aca="false">A163&amp;B163&amp;C163</f>
        <v/>
      </c>
    </row>
    <row r="164" customFormat="false" ht="15" hidden="false" customHeight="false" outlineLevel="0" collapsed="false">
      <c r="D164" s="0" t="str">
        <f aca="false">A164&amp;B164&amp;C164</f>
        <v/>
      </c>
    </row>
    <row r="165" customFormat="false" ht="15" hidden="false" customHeight="false" outlineLevel="0" collapsed="false">
      <c r="D165" s="0" t="str">
        <f aca="false">A165&amp;B165&amp;C165</f>
        <v/>
      </c>
    </row>
    <row r="166" customFormat="false" ht="15" hidden="false" customHeight="false" outlineLevel="0" collapsed="false">
      <c r="D166" s="0" t="str">
        <f aca="false">A166&amp;B166&amp;C166</f>
        <v/>
      </c>
    </row>
    <row r="167" customFormat="false" ht="15" hidden="false" customHeight="false" outlineLevel="0" collapsed="false">
      <c r="D167" s="0" t="str">
        <f aca="false">A167&amp;B167&amp;C167</f>
        <v/>
      </c>
    </row>
    <row r="168" customFormat="false" ht="15" hidden="false" customHeight="false" outlineLevel="0" collapsed="false">
      <c r="D168" s="0" t="str">
        <f aca="false">A168&amp;B168&amp;C168</f>
        <v/>
      </c>
    </row>
    <row r="169" customFormat="false" ht="15" hidden="false" customHeight="false" outlineLevel="0" collapsed="false">
      <c r="D169" s="0" t="str">
        <f aca="false">A169&amp;B169&amp;C169</f>
        <v/>
      </c>
    </row>
    <row r="170" customFormat="false" ht="15" hidden="false" customHeight="false" outlineLevel="0" collapsed="false">
      <c r="D170" s="0" t="str">
        <f aca="false">A170&amp;B170&amp;C170</f>
        <v/>
      </c>
    </row>
    <row r="171" customFormat="false" ht="15" hidden="false" customHeight="false" outlineLevel="0" collapsed="false">
      <c r="D171" s="0" t="str">
        <f aca="false">A171&amp;B171&amp;C171</f>
        <v/>
      </c>
    </row>
    <row r="172" customFormat="false" ht="15" hidden="false" customHeight="false" outlineLevel="0" collapsed="false">
      <c r="D172" s="0" t="str">
        <f aca="false">A172&amp;B172&amp;C172</f>
        <v/>
      </c>
    </row>
    <row r="173" customFormat="false" ht="15" hidden="false" customHeight="false" outlineLevel="0" collapsed="false">
      <c r="D173" s="0" t="str">
        <f aca="false">A173&amp;B173&amp;C173</f>
        <v/>
      </c>
    </row>
    <row r="174" customFormat="false" ht="15" hidden="false" customHeight="false" outlineLevel="0" collapsed="false">
      <c r="D174" s="0" t="str">
        <f aca="false">A174&amp;B174&amp;C174</f>
        <v/>
      </c>
    </row>
    <row r="175" customFormat="false" ht="15" hidden="false" customHeight="false" outlineLevel="0" collapsed="false">
      <c r="D175" s="0" t="str">
        <f aca="false">A175&amp;B175&amp;C175</f>
        <v/>
      </c>
    </row>
    <row r="176" customFormat="false" ht="15" hidden="false" customHeight="false" outlineLevel="0" collapsed="false">
      <c r="D176" s="0" t="str">
        <f aca="false">A176&amp;B176&amp;C176</f>
        <v/>
      </c>
    </row>
    <row r="177" customFormat="false" ht="15" hidden="false" customHeight="false" outlineLevel="0" collapsed="false">
      <c r="D177" s="0" t="str">
        <f aca="false">A177&amp;B177&amp;C177</f>
        <v/>
      </c>
    </row>
    <row r="178" customFormat="false" ht="15" hidden="false" customHeight="false" outlineLevel="0" collapsed="false">
      <c r="D178" s="0" t="str">
        <f aca="false">A178&amp;B178&amp;C178</f>
        <v/>
      </c>
    </row>
    <row r="179" customFormat="false" ht="15" hidden="false" customHeight="false" outlineLevel="0" collapsed="false">
      <c r="D179" s="0" t="str">
        <f aca="false">A179&amp;B179&amp;C179</f>
        <v/>
      </c>
    </row>
    <row r="180" customFormat="false" ht="15" hidden="false" customHeight="false" outlineLevel="0" collapsed="false">
      <c r="D180" s="0" t="str">
        <f aca="false">A180&amp;B180&amp;C180</f>
        <v/>
      </c>
    </row>
    <row r="181" customFormat="false" ht="15" hidden="false" customHeight="false" outlineLevel="0" collapsed="false">
      <c r="D181" s="0" t="str">
        <f aca="false">A181&amp;B181&amp;C181</f>
        <v/>
      </c>
    </row>
    <row r="182" customFormat="false" ht="15" hidden="false" customHeight="false" outlineLevel="0" collapsed="false">
      <c r="D182" s="0" t="str">
        <f aca="false">A182&amp;B182&amp;C182</f>
        <v/>
      </c>
    </row>
    <row r="183" customFormat="false" ht="15" hidden="false" customHeight="false" outlineLevel="0" collapsed="false">
      <c r="D183" s="0" t="str">
        <f aca="false">A183&amp;B183&amp;C183</f>
        <v/>
      </c>
    </row>
    <row r="184" customFormat="false" ht="15" hidden="false" customHeight="false" outlineLevel="0" collapsed="false">
      <c r="D184" s="0" t="str">
        <f aca="false">A184&amp;B184&amp;C184</f>
        <v/>
      </c>
    </row>
    <row r="185" customFormat="false" ht="15" hidden="false" customHeight="false" outlineLevel="0" collapsed="false">
      <c r="D185" s="0" t="str">
        <f aca="false">A185&amp;B185&amp;C185</f>
        <v/>
      </c>
    </row>
    <row r="186" customFormat="false" ht="15" hidden="false" customHeight="false" outlineLevel="0" collapsed="false">
      <c r="D186" s="0" t="str">
        <f aca="false">A186&amp;B186&amp;C186</f>
        <v/>
      </c>
    </row>
    <row r="187" customFormat="false" ht="15" hidden="false" customHeight="false" outlineLevel="0" collapsed="false">
      <c r="D187" s="0" t="str">
        <f aca="false">A187&amp;B187&amp;C187</f>
        <v/>
      </c>
    </row>
    <row r="188" customFormat="false" ht="15" hidden="false" customHeight="false" outlineLevel="0" collapsed="false">
      <c r="D188" s="0" t="str">
        <f aca="false">A188&amp;B188&amp;C188</f>
        <v/>
      </c>
    </row>
    <row r="189" customFormat="false" ht="15" hidden="false" customHeight="false" outlineLevel="0" collapsed="false">
      <c r="D189" s="0" t="str">
        <f aca="false">A189&amp;B189&amp;C189</f>
        <v/>
      </c>
    </row>
    <row r="190" customFormat="false" ht="15" hidden="false" customHeight="false" outlineLevel="0" collapsed="false">
      <c r="D190" s="0" t="str">
        <f aca="false">A190&amp;B190&amp;C190</f>
        <v/>
      </c>
    </row>
    <row r="191" customFormat="false" ht="15" hidden="false" customHeight="false" outlineLevel="0" collapsed="false">
      <c r="D191" s="0" t="str">
        <f aca="false">A191&amp;B191&amp;C191</f>
        <v/>
      </c>
    </row>
    <row r="192" customFormat="false" ht="15" hidden="false" customHeight="false" outlineLevel="0" collapsed="false">
      <c r="D192" s="0" t="str">
        <f aca="false">A192&amp;B192&amp;C192</f>
        <v/>
      </c>
    </row>
    <row r="193" customFormat="false" ht="15" hidden="false" customHeight="false" outlineLevel="0" collapsed="false">
      <c r="D193" s="0" t="str">
        <f aca="false">A193&amp;B193&amp;C193</f>
        <v/>
      </c>
    </row>
    <row r="194" customFormat="false" ht="15" hidden="false" customHeight="false" outlineLevel="0" collapsed="false">
      <c r="D194" s="0" t="str">
        <f aca="false">A194&amp;B194&amp;C194</f>
        <v/>
      </c>
    </row>
    <row r="195" customFormat="false" ht="15" hidden="false" customHeight="false" outlineLevel="0" collapsed="false">
      <c r="D195" s="0" t="str">
        <f aca="false">A195&amp;B195&amp;C195</f>
        <v/>
      </c>
    </row>
    <row r="196" customFormat="false" ht="15" hidden="false" customHeight="false" outlineLevel="0" collapsed="false">
      <c r="D196" s="0" t="str">
        <f aca="false">A196&amp;B196&amp;C196</f>
        <v/>
      </c>
    </row>
    <row r="197" customFormat="false" ht="15" hidden="false" customHeight="false" outlineLevel="0" collapsed="false">
      <c r="D197" s="0" t="str">
        <f aca="false">A197&amp;B197&amp;C197</f>
        <v/>
      </c>
    </row>
    <row r="198" customFormat="false" ht="15" hidden="false" customHeight="false" outlineLevel="0" collapsed="false">
      <c r="D198" s="0" t="str">
        <f aca="false">A198&amp;B198&amp;C198</f>
        <v/>
      </c>
    </row>
    <row r="199" customFormat="false" ht="15" hidden="false" customHeight="false" outlineLevel="0" collapsed="false">
      <c r="D199" s="0" t="str">
        <f aca="false">A199&amp;B199&amp;C199</f>
        <v/>
      </c>
    </row>
    <row r="200" customFormat="false" ht="15" hidden="false" customHeight="false" outlineLevel="0" collapsed="false">
      <c r="D200" s="0" t="str">
        <f aca="false">A200&amp;B200&amp;C200</f>
        <v/>
      </c>
    </row>
    <row r="201" customFormat="false" ht="15" hidden="false" customHeight="false" outlineLevel="0" collapsed="false">
      <c r="D201" s="0" t="str">
        <f aca="false">A201&amp;B201&amp;C201</f>
        <v/>
      </c>
    </row>
    <row r="202" customFormat="false" ht="15" hidden="false" customHeight="false" outlineLevel="0" collapsed="false">
      <c r="D202" s="0" t="str">
        <f aca="false">A202&amp;B202&amp;C202</f>
        <v/>
      </c>
    </row>
    <row r="203" customFormat="false" ht="15" hidden="false" customHeight="false" outlineLevel="0" collapsed="false">
      <c r="D203" s="0" t="str">
        <f aca="false">A203&amp;B203&amp;C203</f>
        <v/>
      </c>
    </row>
    <row r="204" customFormat="false" ht="15" hidden="false" customHeight="false" outlineLevel="0" collapsed="false">
      <c r="D204" s="0" t="str">
        <f aca="false">A204&amp;B204&amp;C204</f>
        <v/>
      </c>
    </row>
    <row r="205" customFormat="false" ht="15" hidden="false" customHeight="false" outlineLevel="0" collapsed="false">
      <c r="D205" s="0" t="str">
        <f aca="false">A205&amp;B205&amp;C205</f>
        <v/>
      </c>
    </row>
    <row r="206" customFormat="false" ht="15" hidden="false" customHeight="false" outlineLevel="0" collapsed="false">
      <c r="D206" s="0" t="str">
        <f aca="false">A206&amp;B206&amp;C206</f>
        <v/>
      </c>
    </row>
    <row r="207" customFormat="false" ht="15" hidden="false" customHeight="false" outlineLevel="0" collapsed="false">
      <c r="D207" s="0" t="str">
        <f aca="false">A207&amp;B207&amp;C207</f>
        <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A1:K11"/>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9" activeCellId="0" sqref="H9"/>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4.5663265306122"/>
    <col collapsed="false" hidden="false" max="7" min="7" style="0" width="11.2040816326531"/>
    <col collapsed="false" hidden="false" max="10" min="8" style="0" width="8.50510204081633"/>
    <col collapsed="false" hidden="false" max="11" min="11" style="0" width="29.5612244897959"/>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70" t="s">
        <v>48</v>
      </c>
      <c r="I1" s="70"/>
      <c r="J1" s="70"/>
      <c r="K1" s="70"/>
    </row>
    <row r="2" customFormat="false" ht="79.5" hidden="false" customHeight="true" outlineLevel="0" collapsed="false">
      <c r="A2" s="0" t="s">
        <v>54</v>
      </c>
      <c r="B2" s="71" t="s">
        <v>55</v>
      </c>
      <c r="C2" s="71" t="s">
        <v>51</v>
      </c>
      <c r="D2" s="0"/>
      <c r="E2" s="0"/>
      <c r="F2" s="72" t="s">
        <v>56</v>
      </c>
      <c r="G2" s="1" t="s">
        <v>138</v>
      </c>
      <c r="H2" s="73" t="s">
        <v>139</v>
      </c>
      <c r="I2" s="73"/>
      <c r="J2" s="73"/>
      <c r="K2" s="73"/>
    </row>
    <row r="3" customFormat="false" ht="15" hidden="false" customHeight="false" outlineLevel="0" collapsed="false">
      <c r="A3" s="0" t="s">
        <v>57</v>
      </c>
      <c r="B3" s="71" t="s">
        <v>55</v>
      </c>
      <c r="C3" s="71" t="s">
        <v>58</v>
      </c>
      <c r="D3" s="71" t="s">
        <v>54</v>
      </c>
      <c r="E3" s="0"/>
      <c r="F3" s="74" t="s">
        <v>59</v>
      </c>
      <c r="G3" s="1" t="s">
        <v>140</v>
      </c>
      <c r="H3" s="75" t="s">
        <v>141</v>
      </c>
      <c r="I3" s="75"/>
      <c r="J3" s="75"/>
      <c r="K3" s="75"/>
    </row>
    <row r="4" customFormat="false" ht="31.5" hidden="false" customHeight="true" outlineLevel="0" collapsed="false">
      <c r="A4" s="0" t="s">
        <v>72</v>
      </c>
      <c r="B4" s="71" t="s">
        <v>55</v>
      </c>
      <c r="C4" s="71" t="s">
        <v>58</v>
      </c>
      <c r="D4" s="71" t="s">
        <v>70</v>
      </c>
      <c r="E4" s="0"/>
      <c r="F4" s="0" t="s">
        <v>73</v>
      </c>
      <c r="G4" s="1" t="s">
        <v>142</v>
      </c>
      <c r="H4" s="73" t="s">
        <v>143</v>
      </c>
      <c r="I4" s="73"/>
      <c r="J4" s="73"/>
      <c r="K4" s="73"/>
    </row>
    <row r="5" customFormat="false" ht="63.75" hidden="false" customHeight="true" outlineLevel="0" collapsed="false">
      <c r="A5" s="0" t="s">
        <v>70</v>
      </c>
      <c r="B5" s="71" t="s">
        <v>55</v>
      </c>
      <c r="C5" s="71" t="s">
        <v>51</v>
      </c>
      <c r="D5" s="0"/>
      <c r="E5" s="0"/>
      <c r="F5" s="0" t="s">
        <v>71</v>
      </c>
      <c r="G5" s="1" t="s">
        <v>142</v>
      </c>
      <c r="H5" s="73" t="s">
        <v>144</v>
      </c>
      <c r="I5" s="73"/>
      <c r="J5" s="73"/>
      <c r="K5" s="73"/>
    </row>
    <row r="6" customFormat="false" ht="96.75" hidden="false" customHeight="true" outlineLevel="0" collapsed="false">
      <c r="A6" s="0" t="s">
        <v>76</v>
      </c>
      <c r="B6" s="71" t="s">
        <v>55</v>
      </c>
      <c r="C6" s="71" t="s">
        <v>51</v>
      </c>
      <c r="D6" s="0"/>
      <c r="E6" s="71" t="s">
        <v>78</v>
      </c>
      <c r="F6" s="76" t="s">
        <v>77</v>
      </c>
      <c r="G6" s="1" t="s">
        <v>145</v>
      </c>
      <c r="H6" s="73" t="s">
        <v>146</v>
      </c>
      <c r="I6" s="73"/>
      <c r="J6" s="73"/>
      <c r="K6" s="73"/>
    </row>
    <row r="7" customFormat="false" ht="15" hidden="false" customHeight="true" outlineLevel="0" collapsed="false">
      <c r="A7" s="0" t="s">
        <v>78</v>
      </c>
      <c r="B7" s="71" t="s">
        <v>55</v>
      </c>
      <c r="C7" s="71" t="s">
        <v>51</v>
      </c>
      <c r="D7" s="0"/>
      <c r="E7" s="0"/>
      <c r="F7" s="72" t="s">
        <v>79</v>
      </c>
      <c r="G7" s="76" t="s">
        <v>147</v>
      </c>
      <c r="H7" s="77" t="s">
        <v>148</v>
      </c>
      <c r="I7" s="77"/>
      <c r="J7" s="77"/>
      <c r="K7" s="77"/>
    </row>
    <row r="8" customFormat="false" ht="48.75" hidden="false" customHeight="true" outlineLevel="0" collapsed="false">
      <c r="A8" s="0" t="s">
        <v>80</v>
      </c>
      <c r="B8" s="71" t="s">
        <v>55</v>
      </c>
      <c r="C8" s="71" t="s">
        <v>51</v>
      </c>
      <c r="D8" s="0"/>
      <c r="E8" s="71" t="s">
        <v>78</v>
      </c>
      <c r="F8" s="76" t="s">
        <v>81</v>
      </c>
      <c r="G8" s="76" t="s">
        <v>149</v>
      </c>
      <c r="H8" s="77" t="s">
        <v>150</v>
      </c>
      <c r="I8" s="77"/>
      <c r="J8" s="77"/>
      <c r="K8" s="77"/>
    </row>
    <row r="9" customFormat="false" ht="36.75" hidden="false" customHeight="true" outlineLevel="0" collapsed="false">
      <c r="A9" s="0" t="s">
        <v>82</v>
      </c>
      <c r="B9" s="71" t="s">
        <v>55</v>
      </c>
      <c r="C9" s="71" t="s">
        <v>51</v>
      </c>
      <c r="D9" s="0"/>
      <c r="E9" s="71" t="s">
        <v>80</v>
      </c>
      <c r="F9" s="72" t="s">
        <v>83</v>
      </c>
      <c r="G9" s="76" t="s">
        <v>149</v>
      </c>
      <c r="H9" s="77" t="s">
        <v>151</v>
      </c>
      <c r="I9" s="77"/>
      <c r="J9" s="77"/>
      <c r="K9" s="77"/>
    </row>
    <row r="10" customFormat="false" ht="20.25" hidden="false" customHeight="true" outlineLevel="0" collapsed="false">
      <c r="A10" s="0" t="s">
        <v>62</v>
      </c>
      <c r="B10" s="71" t="s">
        <v>55</v>
      </c>
      <c r="C10" s="71" t="s">
        <v>58</v>
      </c>
      <c r="D10" s="71" t="s">
        <v>54</v>
      </c>
      <c r="F10" s="76" t="s">
        <v>63</v>
      </c>
      <c r="G10" s="76" t="s">
        <v>138</v>
      </c>
      <c r="H10" s="77" t="s">
        <v>152</v>
      </c>
      <c r="I10" s="77"/>
      <c r="J10" s="77"/>
      <c r="K10" s="77"/>
    </row>
    <row r="11" customFormat="false" ht="34.5" hidden="false" customHeight="true" outlineLevel="0" collapsed="false">
      <c r="A11" s="0" t="s">
        <v>60</v>
      </c>
      <c r="B11" s="71" t="s">
        <v>55</v>
      </c>
      <c r="C11" s="71" t="s">
        <v>58</v>
      </c>
      <c r="D11" s="71" t="s">
        <v>54</v>
      </c>
      <c r="F11" s="78" t="s">
        <v>61</v>
      </c>
      <c r="G11" s="76" t="s">
        <v>153</v>
      </c>
      <c r="H11" s="77" t="s">
        <v>154</v>
      </c>
      <c r="I11" s="77"/>
      <c r="J11" s="77"/>
      <c r="K11" s="77"/>
    </row>
  </sheetData>
  <mergeCells count="11">
    <mergeCell ref="H1:K1"/>
    <mergeCell ref="H2:K2"/>
    <mergeCell ref="H3:K3"/>
    <mergeCell ref="H4:K4"/>
    <mergeCell ref="H5:K5"/>
    <mergeCell ref="H6:K6"/>
    <mergeCell ref="H7:K7"/>
    <mergeCell ref="H8:K8"/>
    <mergeCell ref="H9:K9"/>
    <mergeCell ref="H10:K10"/>
    <mergeCell ref="H11:K1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1:K11"/>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11" activeCellId="0" sqref="H11"/>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4.5663265306122"/>
    <col collapsed="false" hidden="false" max="7" min="7" style="0" width="11.2040816326531"/>
    <col collapsed="false" hidden="false" max="10" min="8" style="0" width="8.50510204081633"/>
    <col collapsed="false" hidden="false" max="11" min="11" style="0" width="31.9948979591837"/>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70" t="s">
        <v>48</v>
      </c>
      <c r="I1" s="70"/>
      <c r="J1" s="70"/>
      <c r="K1" s="70"/>
    </row>
    <row r="2" customFormat="false" ht="78" hidden="false" customHeight="true" outlineLevel="0" collapsed="false">
      <c r="A2" s="0" t="s">
        <v>54</v>
      </c>
      <c r="B2" s="71" t="s">
        <v>55</v>
      </c>
      <c r="C2" s="71" t="s">
        <v>51</v>
      </c>
      <c r="D2" s="0"/>
      <c r="E2" s="0"/>
      <c r="F2" s="72" t="s">
        <v>56</v>
      </c>
      <c r="G2" s="1" t="s">
        <v>138</v>
      </c>
      <c r="H2" s="73" t="s">
        <v>139</v>
      </c>
      <c r="I2" s="73"/>
      <c r="J2" s="73"/>
      <c r="K2" s="73"/>
    </row>
    <row r="3" customFormat="false" ht="15" hidden="false" customHeight="false" outlineLevel="0" collapsed="false">
      <c r="A3" s="0" t="s">
        <v>57</v>
      </c>
      <c r="B3" s="71" t="s">
        <v>55</v>
      </c>
      <c r="C3" s="71" t="s">
        <v>58</v>
      </c>
      <c r="D3" s="71" t="s">
        <v>54</v>
      </c>
      <c r="E3" s="0"/>
      <c r="F3" s="74" t="s">
        <v>59</v>
      </c>
      <c r="G3" s="1" t="s">
        <v>140</v>
      </c>
      <c r="H3" s="75" t="s">
        <v>141</v>
      </c>
      <c r="I3" s="75"/>
      <c r="J3" s="75"/>
      <c r="K3" s="75"/>
    </row>
    <row r="4" customFormat="false" ht="33" hidden="false" customHeight="true" outlineLevel="0" collapsed="false">
      <c r="A4" s="0" t="s">
        <v>72</v>
      </c>
      <c r="B4" s="71" t="s">
        <v>55</v>
      </c>
      <c r="C4" s="71" t="s">
        <v>58</v>
      </c>
      <c r="D4" s="71" t="s">
        <v>70</v>
      </c>
      <c r="E4" s="0"/>
      <c r="F4" s="0" t="s">
        <v>73</v>
      </c>
      <c r="G4" s="1" t="s">
        <v>142</v>
      </c>
      <c r="H4" s="73" t="s">
        <v>143</v>
      </c>
      <c r="I4" s="73"/>
      <c r="J4" s="73"/>
      <c r="K4" s="73"/>
    </row>
    <row r="5" customFormat="false" ht="31.5" hidden="false" customHeight="true" outlineLevel="0" collapsed="false">
      <c r="A5" s="0" t="s">
        <v>70</v>
      </c>
      <c r="B5" s="71" t="s">
        <v>55</v>
      </c>
      <c r="C5" s="71" t="s">
        <v>51</v>
      </c>
      <c r="D5" s="0"/>
      <c r="E5" s="0"/>
      <c r="F5" s="0" t="s">
        <v>71</v>
      </c>
      <c r="G5" s="1" t="s">
        <v>142</v>
      </c>
      <c r="H5" s="73" t="s">
        <v>144</v>
      </c>
      <c r="I5" s="73"/>
      <c r="J5" s="73"/>
      <c r="K5" s="73"/>
    </row>
    <row r="6" customFormat="false" ht="96.75" hidden="false" customHeight="true" outlineLevel="0" collapsed="false">
      <c r="A6" s="0" t="s">
        <v>76</v>
      </c>
      <c r="B6" s="71" t="s">
        <v>55</v>
      </c>
      <c r="C6" s="71" t="s">
        <v>51</v>
      </c>
      <c r="D6" s="0"/>
      <c r="E6" s="71" t="s">
        <v>78</v>
      </c>
      <c r="F6" s="76" t="s">
        <v>77</v>
      </c>
      <c r="G6" s="1" t="s">
        <v>145</v>
      </c>
      <c r="H6" s="73" t="s">
        <v>146</v>
      </c>
      <c r="I6" s="73"/>
      <c r="J6" s="73"/>
      <c r="K6" s="73"/>
    </row>
    <row r="7" customFormat="false" ht="15" hidden="false" customHeight="true" outlineLevel="0" collapsed="false">
      <c r="A7" s="0" t="s">
        <v>78</v>
      </c>
      <c r="B7" s="71" t="s">
        <v>55</v>
      </c>
      <c r="C7" s="71" t="s">
        <v>51</v>
      </c>
      <c r="D7" s="0"/>
      <c r="E7" s="0"/>
      <c r="F7" s="72" t="s">
        <v>79</v>
      </c>
      <c r="G7" s="76" t="s">
        <v>155</v>
      </c>
      <c r="H7" s="77" t="s">
        <v>148</v>
      </c>
      <c r="I7" s="77"/>
      <c r="J7" s="77"/>
      <c r="K7" s="77"/>
    </row>
    <row r="8" customFormat="false" ht="47.25" hidden="false" customHeight="true" outlineLevel="0" collapsed="false">
      <c r="A8" s="0" t="s">
        <v>80</v>
      </c>
      <c r="B8" s="71" t="s">
        <v>55</v>
      </c>
      <c r="C8" s="71" t="s">
        <v>51</v>
      </c>
      <c r="D8" s="0"/>
      <c r="E8" s="71" t="s">
        <v>78</v>
      </c>
      <c r="F8" s="76" t="s">
        <v>81</v>
      </c>
      <c r="G8" s="76" t="s">
        <v>149</v>
      </c>
      <c r="H8" s="77" t="s">
        <v>150</v>
      </c>
      <c r="I8" s="77"/>
      <c r="J8" s="77"/>
      <c r="K8" s="77"/>
    </row>
    <row r="9" customFormat="false" ht="33" hidden="false" customHeight="true" outlineLevel="0" collapsed="false">
      <c r="A9" s="0" t="s">
        <v>82</v>
      </c>
      <c r="B9" s="71" t="s">
        <v>55</v>
      </c>
      <c r="C9" s="71" t="s">
        <v>51</v>
      </c>
      <c r="D9" s="0"/>
      <c r="E9" s="71" t="s">
        <v>80</v>
      </c>
      <c r="F9" s="72" t="s">
        <v>83</v>
      </c>
      <c r="G9" s="76" t="s">
        <v>149</v>
      </c>
      <c r="H9" s="77" t="s">
        <v>151</v>
      </c>
      <c r="I9" s="77"/>
      <c r="J9" s="77"/>
      <c r="K9" s="77"/>
    </row>
    <row r="10" customFormat="false" ht="15" hidden="false" customHeight="true" outlineLevel="0" collapsed="false">
      <c r="A10" s="0" t="s">
        <v>62</v>
      </c>
      <c r="B10" s="71" t="s">
        <v>55</v>
      </c>
      <c r="C10" s="71" t="s">
        <v>58</v>
      </c>
      <c r="D10" s="71" t="s">
        <v>54</v>
      </c>
      <c r="F10" s="76" t="s">
        <v>63</v>
      </c>
      <c r="G10" s="76" t="s">
        <v>138</v>
      </c>
      <c r="H10" s="77" t="s">
        <v>152</v>
      </c>
      <c r="I10" s="77"/>
      <c r="J10" s="77"/>
      <c r="K10" s="77"/>
    </row>
    <row r="11" customFormat="false" ht="35.25" hidden="false" customHeight="true" outlineLevel="0" collapsed="false">
      <c r="A11" s="0" t="s">
        <v>60</v>
      </c>
      <c r="B11" s="71" t="s">
        <v>55</v>
      </c>
      <c r="C11" s="71" t="s">
        <v>58</v>
      </c>
      <c r="D11" s="71" t="s">
        <v>54</v>
      </c>
      <c r="F11" s="78" t="s">
        <v>61</v>
      </c>
      <c r="G11" s="76" t="s">
        <v>153</v>
      </c>
      <c r="H11" s="77" t="s">
        <v>154</v>
      </c>
      <c r="I11" s="77"/>
      <c r="J11" s="77"/>
      <c r="K11" s="77"/>
    </row>
  </sheetData>
  <mergeCells count="11">
    <mergeCell ref="H1:K1"/>
    <mergeCell ref="H2:K2"/>
    <mergeCell ref="H3:K3"/>
    <mergeCell ref="H4:K4"/>
    <mergeCell ref="H5:K5"/>
    <mergeCell ref="H6:K6"/>
    <mergeCell ref="H7:K7"/>
    <mergeCell ref="H8:K8"/>
    <mergeCell ref="H9:K9"/>
    <mergeCell ref="H10:K10"/>
    <mergeCell ref="H11:K1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K7"/>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7" activeCellId="0" sqref="A7"/>
    </sheetView>
  </sheetViews>
  <sheetFormatPr defaultRowHeight="15"/>
  <cols>
    <col collapsed="false" hidden="false" max="1" min="1" style="0" width="4.05102040816327"/>
    <col collapsed="false" hidden="false" max="2" min="2" style="66" width="3.37244897959184"/>
    <col collapsed="false" hidden="false" max="3" min="3" style="66" width="5.12755102040816"/>
    <col collapsed="false" hidden="false" max="5" min="4" style="66" width="9.04591836734694"/>
    <col collapsed="false" hidden="false" max="6" min="6" style="0" width="20.3826530612245"/>
    <col collapsed="false" hidden="false" max="7" min="7" style="0" width="11.2040816326531"/>
    <col collapsed="false" hidden="false" max="8" min="8" style="0" width="53.3214285714286"/>
    <col collapsed="false" hidden="false" max="1025" min="9"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70" t="s">
        <v>48</v>
      </c>
      <c r="I1" s="70"/>
      <c r="J1" s="70"/>
      <c r="K1" s="70"/>
    </row>
    <row r="2" customFormat="false" ht="60" hidden="false" customHeight="false" outlineLevel="0" collapsed="false">
      <c r="A2" s="0" t="s">
        <v>49</v>
      </c>
      <c r="B2" s="71" t="s">
        <v>50</v>
      </c>
      <c r="C2" s="71" t="s">
        <v>51</v>
      </c>
      <c r="F2" s="76" t="s">
        <v>52</v>
      </c>
      <c r="G2" s="1" t="s">
        <v>138</v>
      </c>
      <c r="H2" s="79" t="s">
        <v>156</v>
      </c>
      <c r="I2" s="79"/>
      <c r="J2" s="79"/>
      <c r="K2" s="79"/>
    </row>
    <row r="3" customFormat="false" ht="60" hidden="false" customHeight="false" outlineLevel="0" collapsed="false">
      <c r="A3" s="0" t="s">
        <v>64</v>
      </c>
      <c r="B3" s="71" t="s">
        <v>50</v>
      </c>
      <c r="C3" s="71" t="s">
        <v>51</v>
      </c>
      <c r="F3" s="76" t="s">
        <v>65</v>
      </c>
      <c r="G3" s="1" t="s">
        <v>157</v>
      </c>
      <c r="H3" s="79" t="s">
        <v>158</v>
      </c>
      <c r="I3" s="79"/>
      <c r="J3" s="79"/>
      <c r="K3" s="79"/>
    </row>
    <row r="4" customFormat="false" ht="90" hidden="false" customHeight="false" outlineLevel="0" collapsed="false">
      <c r="A4" s="0" t="s">
        <v>66</v>
      </c>
      <c r="B4" s="71" t="s">
        <v>50</v>
      </c>
      <c r="C4" s="71" t="s">
        <v>51</v>
      </c>
      <c r="F4" s="76" t="s">
        <v>67</v>
      </c>
      <c r="G4" s="1" t="s">
        <v>142</v>
      </c>
      <c r="H4" s="79" t="s">
        <v>159</v>
      </c>
      <c r="I4" s="79"/>
      <c r="J4" s="79"/>
      <c r="K4" s="79"/>
    </row>
    <row r="5" customFormat="false" ht="90" hidden="false" customHeight="false" outlineLevel="0" collapsed="false">
      <c r="A5" s="0" t="s">
        <v>74</v>
      </c>
      <c r="B5" s="71" t="s">
        <v>50</v>
      </c>
      <c r="C5" s="71" t="s">
        <v>51</v>
      </c>
      <c r="F5" s="76" t="s">
        <v>160</v>
      </c>
      <c r="G5" s="76" t="s">
        <v>155</v>
      </c>
      <c r="H5" s="79" t="s">
        <v>161</v>
      </c>
      <c r="I5" s="79"/>
      <c r="J5" s="79"/>
      <c r="K5" s="79"/>
    </row>
    <row r="6" customFormat="false" ht="90" hidden="false" customHeight="false" outlineLevel="0" collapsed="false">
      <c r="A6" s="0" t="s">
        <v>68</v>
      </c>
      <c r="B6" s="71" t="s">
        <v>50</v>
      </c>
      <c r="C6" s="71" t="s">
        <v>51</v>
      </c>
      <c r="F6" s="76" t="s">
        <v>75</v>
      </c>
      <c r="G6" s="1" t="s">
        <v>162</v>
      </c>
      <c r="H6" s="80" t="s">
        <v>163</v>
      </c>
      <c r="I6" s="80"/>
      <c r="J6" s="80"/>
      <c r="K6" s="80"/>
    </row>
    <row r="7" customFormat="false" ht="26.25" hidden="false" customHeight="false" outlineLevel="0" collapsed="false">
      <c r="A7" s="0" t="s">
        <v>164</v>
      </c>
      <c r="B7" s="71" t="s">
        <v>50</v>
      </c>
      <c r="C7" s="71" t="s">
        <v>51</v>
      </c>
      <c r="F7" s="76" t="s">
        <v>69</v>
      </c>
      <c r="G7" s="76" t="s">
        <v>142</v>
      </c>
      <c r="H7" s="81" t="s">
        <v>165</v>
      </c>
      <c r="I7" s="80"/>
      <c r="J7" s="80"/>
      <c r="K7" s="80"/>
    </row>
  </sheetData>
  <mergeCells count="1">
    <mergeCell ref="H1:K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K6"/>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6" activeCellId="0" sqref="H6"/>
    </sheetView>
  </sheetViews>
  <sheetFormatPr defaultRowHeight="15"/>
  <cols>
    <col collapsed="false" hidden="false" max="1" min="1" style="0" width="4.05102040816327"/>
    <col collapsed="false" hidden="false" max="2" min="2" style="66" width="3.37244897959184"/>
    <col collapsed="false" hidden="false" max="3" min="3" style="66" width="5.12755102040816"/>
    <col collapsed="false" hidden="false" max="5" min="4" style="66" width="9.04591836734694"/>
    <col collapsed="false" hidden="false" max="6" min="6" style="0" width="20.3826530612245"/>
    <col collapsed="false" hidden="false" max="7" min="7" style="0" width="11.2040816326531"/>
    <col collapsed="false" hidden="false" max="8" min="8" style="0" width="53.3214285714286"/>
    <col collapsed="false" hidden="false" max="1025" min="9"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70" t="s">
        <v>48</v>
      </c>
      <c r="I1" s="70"/>
      <c r="J1" s="70"/>
      <c r="K1" s="70"/>
    </row>
    <row r="2" customFormat="false" ht="60" hidden="false" customHeight="false" outlineLevel="0" collapsed="false">
      <c r="A2" s="0" t="s">
        <v>49</v>
      </c>
      <c r="B2" s="71" t="s">
        <v>50</v>
      </c>
      <c r="C2" s="71" t="s">
        <v>51</v>
      </c>
      <c r="F2" s="76" t="s">
        <v>52</v>
      </c>
      <c r="G2" s="1" t="s">
        <v>149</v>
      </c>
      <c r="H2" s="79" t="s">
        <v>156</v>
      </c>
      <c r="I2" s="79"/>
      <c r="J2" s="79"/>
      <c r="K2" s="79"/>
    </row>
    <row r="3" customFormat="false" ht="60" hidden="false" customHeight="false" outlineLevel="0" collapsed="false">
      <c r="A3" s="0" t="s">
        <v>64</v>
      </c>
      <c r="B3" s="71" t="s">
        <v>50</v>
      </c>
      <c r="C3" s="71" t="s">
        <v>51</v>
      </c>
      <c r="F3" s="76" t="s">
        <v>65</v>
      </c>
      <c r="G3" s="1" t="s">
        <v>157</v>
      </c>
      <c r="H3" s="79" t="s">
        <v>158</v>
      </c>
      <c r="I3" s="79"/>
      <c r="J3" s="79"/>
      <c r="K3" s="79"/>
    </row>
    <row r="4" customFormat="false" ht="90" hidden="false" customHeight="false" outlineLevel="0" collapsed="false">
      <c r="A4" s="0" t="s">
        <v>66</v>
      </c>
      <c r="B4" s="71" t="s">
        <v>50</v>
      </c>
      <c r="C4" s="71" t="s">
        <v>51</v>
      </c>
      <c r="F4" s="76" t="s">
        <v>67</v>
      </c>
      <c r="G4" s="1" t="s">
        <v>142</v>
      </c>
      <c r="H4" s="79" t="s">
        <v>159</v>
      </c>
      <c r="I4" s="79"/>
      <c r="J4" s="79"/>
      <c r="K4" s="79"/>
    </row>
    <row r="5" customFormat="false" ht="90" hidden="false" customHeight="false" outlineLevel="0" collapsed="false">
      <c r="A5" s="0" t="s">
        <v>74</v>
      </c>
      <c r="B5" s="71" t="s">
        <v>50</v>
      </c>
      <c r="C5" s="71" t="s">
        <v>51</v>
      </c>
      <c r="F5" s="76" t="s">
        <v>75</v>
      </c>
      <c r="G5" s="1" t="s">
        <v>166</v>
      </c>
      <c r="H5" s="80" t="s">
        <v>163</v>
      </c>
      <c r="I5" s="79"/>
      <c r="J5" s="79"/>
      <c r="K5" s="79"/>
    </row>
    <row r="6" customFormat="false" ht="26.25" hidden="false" customHeight="false" outlineLevel="0" collapsed="false">
      <c r="A6" s="0" t="s">
        <v>68</v>
      </c>
      <c r="B6" s="71" t="s">
        <v>50</v>
      </c>
      <c r="C6" s="71" t="s">
        <v>51</v>
      </c>
      <c r="F6" s="76" t="s">
        <v>69</v>
      </c>
      <c r="G6" s="76" t="s">
        <v>142</v>
      </c>
      <c r="H6" s="81" t="s">
        <v>165</v>
      </c>
      <c r="I6" s="80"/>
      <c r="J6" s="80"/>
      <c r="K6" s="80"/>
    </row>
  </sheetData>
  <mergeCells count="1">
    <mergeCell ref="H1:K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1:K6"/>
  <sheetViews>
    <sheetView windowProtection="false"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G5" activeCellId="0" sqref="G5"/>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45" hidden="false" customHeight="false" outlineLevel="0" collapsed="false">
      <c r="A2" s="0" t="s">
        <v>167</v>
      </c>
      <c r="B2" s="71" t="s">
        <v>50</v>
      </c>
      <c r="C2" s="71" t="s">
        <v>51</v>
      </c>
      <c r="E2" s="0"/>
      <c r="F2" s="76" t="s">
        <v>52</v>
      </c>
      <c r="G2" s="1" t="s">
        <v>138</v>
      </c>
      <c r="H2" s="79" t="s">
        <v>168</v>
      </c>
      <c r="I2" s="85"/>
      <c r="J2" s="85"/>
      <c r="K2" s="85"/>
    </row>
    <row r="3" customFormat="false" ht="45" hidden="false" customHeight="false" outlineLevel="0" collapsed="false">
      <c r="A3" s="0" t="s">
        <v>169</v>
      </c>
      <c r="B3" s="71" t="s">
        <v>50</v>
      </c>
      <c r="C3" s="71" t="s">
        <v>51</v>
      </c>
      <c r="E3" s="0"/>
      <c r="F3" s="76" t="s">
        <v>65</v>
      </c>
      <c r="G3" s="1" t="s">
        <v>157</v>
      </c>
      <c r="H3" s="79" t="s">
        <v>170</v>
      </c>
      <c r="I3" s="85"/>
      <c r="J3" s="85"/>
      <c r="K3" s="85"/>
    </row>
    <row r="4" customFormat="false" ht="45" hidden="false" customHeight="false" outlineLevel="0" collapsed="false">
      <c r="A4" s="0" t="s">
        <v>171</v>
      </c>
      <c r="B4" s="71" t="s">
        <v>50</v>
      </c>
      <c r="C4" s="71" t="s">
        <v>51</v>
      </c>
      <c r="E4" s="0"/>
      <c r="F4" s="76" t="s">
        <v>172</v>
      </c>
      <c r="G4" s="1" t="s">
        <v>142</v>
      </c>
      <c r="H4" s="79" t="s">
        <v>173</v>
      </c>
      <c r="I4" s="85"/>
      <c r="J4" s="85"/>
      <c r="K4" s="85"/>
    </row>
    <row r="5" customFormat="false" ht="45" hidden="false" customHeight="false" outlineLevel="0" collapsed="false">
      <c r="A5" s="0" t="s">
        <v>174</v>
      </c>
      <c r="B5" s="71" t="s">
        <v>50</v>
      </c>
      <c r="C5" s="71" t="s">
        <v>51</v>
      </c>
      <c r="E5" s="0"/>
      <c r="F5" s="76" t="s">
        <v>175</v>
      </c>
      <c r="G5" s="76" t="s">
        <v>155</v>
      </c>
      <c r="H5" s="79" t="s">
        <v>176</v>
      </c>
      <c r="I5" s="85"/>
      <c r="J5" s="85"/>
      <c r="K5" s="85"/>
    </row>
    <row r="6" customFormat="false" ht="45" hidden="false" customHeight="false" outlineLevel="0" collapsed="false">
      <c r="A6" s="0" t="s">
        <v>177</v>
      </c>
      <c r="B6" s="71" t="s">
        <v>50</v>
      </c>
      <c r="C6" s="71" t="s">
        <v>51</v>
      </c>
      <c r="E6" s="71" t="s">
        <v>78</v>
      </c>
      <c r="F6" s="76" t="s">
        <v>178</v>
      </c>
      <c r="G6" s="76" t="s">
        <v>145</v>
      </c>
      <c r="H6" s="79" t="s">
        <v>179</v>
      </c>
      <c r="I6" s="86"/>
      <c r="J6" s="86"/>
      <c r="K6"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pageSetUpPr fitToPage="false"/>
  </sheetPr>
  <dimension ref="A1:K5"/>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1" activeCellId="0" sqref="G11"/>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45" hidden="false" customHeight="false" outlineLevel="0" collapsed="false">
      <c r="A2" s="0" t="s">
        <v>167</v>
      </c>
      <c r="B2" s="71" t="s">
        <v>50</v>
      </c>
      <c r="C2" s="71" t="s">
        <v>51</v>
      </c>
      <c r="E2" s="0"/>
      <c r="F2" s="76" t="s">
        <v>52</v>
      </c>
      <c r="G2" s="1" t="s">
        <v>138</v>
      </c>
      <c r="H2" s="79" t="s">
        <v>168</v>
      </c>
      <c r="I2" s="85"/>
      <c r="J2" s="85"/>
      <c r="K2" s="85"/>
    </row>
    <row r="3" customFormat="false" ht="45" hidden="false" customHeight="false" outlineLevel="0" collapsed="false">
      <c r="A3" s="0" t="s">
        <v>169</v>
      </c>
      <c r="B3" s="71" t="s">
        <v>50</v>
      </c>
      <c r="C3" s="71" t="s">
        <v>51</v>
      </c>
      <c r="E3" s="0"/>
      <c r="F3" s="76" t="s">
        <v>65</v>
      </c>
      <c r="G3" s="1" t="s">
        <v>157</v>
      </c>
      <c r="H3" s="79" t="s">
        <v>170</v>
      </c>
      <c r="I3" s="85"/>
      <c r="J3" s="85"/>
      <c r="K3" s="85"/>
    </row>
    <row r="4" customFormat="false" ht="45" hidden="false" customHeight="false" outlineLevel="0" collapsed="false">
      <c r="A4" s="0" t="s">
        <v>171</v>
      </c>
      <c r="B4" s="71" t="s">
        <v>50</v>
      </c>
      <c r="C4" s="71" t="s">
        <v>51</v>
      </c>
      <c r="E4" s="0"/>
      <c r="F4" s="76" t="s">
        <v>172</v>
      </c>
      <c r="G4" s="1" t="s">
        <v>142</v>
      </c>
      <c r="H4" s="79" t="s">
        <v>173</v>
      </c>
      <c r="I4" s="85"/>
      <c r="J4" s="85"/>
      <c r="K4" s="85"/>
    </row>
    <row r="5" customFormat="false" ht="45" hidden="false" customHeight="false" outlineLevel="0" collapsed="false">
      <c r="A5" s="0" t="s">
        <v>174</v>
      </c>
      <c r="B5" s="71" t="s">
        <v>50</v>
      </c>
      <c r="C5" s="71" t="s">
        <v>51</v>
      </c>
      <c r="E5" s="71" t="s">
        <v>78</v>
      </c>
      <c r="F5" s="76" t="s">
        <v>178</v>
      </c>
      <c r="G5" s="76" t="s">
        <v>145</v>
      </c>
      <c r="H5" s="79" t="s">
        <v>179</v>
      </c>
      <c r="I5" s="85"/>
      <c r="J5" s="85"/>
      <c r="K5"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pageSetUpPr fitToPage="false"/>
  </sheetPr>
  <dimension ref="A1:K10"/>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RowHeight="15"/>
  <cols>
    <col collapsed="false" hidden="false" max="1" min="1" style="0" width="4.45408163265306"/>
    <col collapsed="false" hidden="false" max="2" min="2" style="66" width="3.37244897959184"/>
    <col collapsed="false" hidden="false" max="3" min="3" style="66" width="5.12755102040816"/>
    <col collapsed="false" hidden="false" max="5" min="4" style="66" width="9.04591836734694"/>
    <col collapsed="false" hidden="false" max="6" min="6" style="0" width="33.2091836734694"/>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180</v>
      </c>
      <c r="B2" s="71" t="s">
        <v>50</v>
      </c>
      <c r="C2" s="71" t="s">
        <v>51</v>
      </c>
      <c r="D2" s="0"/>
      <c r="E2" s="0"/>
      <c r="F2" s="76" t="s">
        <v>181</v>
      </c>
      <c r="G2" s="76" t="s">
        <v>155</v>
      </c>
      <c r="H2" s="79"/>
      <c r="I2" s="85"/>
      <c r="J2" s="85"/>
      <c r="K2" s="85"/>
    </row>
    <row r="3" customFormat="false" ht="15" hidden="false" customHeight="false" outlineLevel="0" collapsed="false">
      <c r="A3" s="0" t="s">
        <v>182</v>
      </c>
      <c r="B3" s="71" t="s">
        <v>50</v>
      </c>
      <c r="C3" s="71" t="s">
        <v>58</v>
      </c>
      <c r="D3" s="71" t="s">
        <v>180</v>
      </c>
      <c r="E3" s="0"/>
      <c r="F3" s="76" t="s">
        <v>183</v>
      </c>
      <c r="G3" s="76" t="s">
        <v>138</v>
      </c>
      <c r="H3" s="79"/>
      <c r="I3" s="85"/>
      <c r="J3" s="85"/>
      <c r="K3" s="85"/>
    </row>
    <row r="4" customFormat="false" ht="15" hidden="false" customHeight="false" outlineLevel="0" collapsed="false">
      <c r="A4" s="0" t="s">
        <v>184</v>
      </c>
      <c r="B4" s="71" t="s">
        <v>50</v>
      </c>
      <c r="C4" s="71" t="s">
        <v>58</v>
      </c>
      <c r="D4" s="71" t="s">
        <v>180</v>
      </c>
      <c r="E4" s="0"/>
      <c r="F4" s="76" t="s">
        <v>185</v>
      </c>
      <c r="G4" s="76" t="s">
        <v>157</v>
      </c>
      <c r="H4" s="79" t="s">
        <v>186</v>
      </c>
      <c r="I4" s="85"/>
      <c r="J4" s="85"/>
      <c r="K4" s="85"/>
    </row>
    <row r="5" customFormat="false" ht="15" hidden="false" customHeight="false" outlineLevel="0" collapsed="false">
      <c r="A5" s="0" t="s">
        <v>187</v>
      </c>
      <c r="B5" s="71" t="s">
        <v>50</v>
      </c>
      <c r="C5" s="71" t="s">
        <v>58</v>
      </c>
      <c r="D5" s="71" t="s">
        <v>180</v>
      </c>
      <c r="E5" s="0"/>
      <c r="F5" s="76" t="s">
        <v>188</v>
      </c>
      <c r="G5" s="76" t="s">
        <v>155</v>
      </c>
      <c r="H5" s="79" t="s">
        <v>189</v>
      </c>
      <c r="I5" s="86"/>
      <c r="J5" s="86"/>
      <c r="K5" s="86"/>
    </row>
    <row r="6" customFormat="false" ht="30" hidden="false" customHeight="false" outlineLevel="0" collapsed="false">
      <c r="A6" s="0" t="s">
        <v>190</v>
      </c>
      <c r="B6" s="71" t="s">
        <v>50</v>
      </c>
      <c r="C6" s="71" t="s">
        <v>51</v>
      </c>
      <c r="D6" s="0"/>
      <c r="E6" s="0"/>
      <c r="F6" s="87" t="s">
        <v>191</v>
      </c>
      <c r="G6" s="76" t="s">
        <v>166</v>
      </c>
      <c r="H6" s="79" t="s">
        <v>192</v>
      </c>
      <c r="I6" s="86"/>
      <c r="J6" s="86"/>
      <c r="K6" s="86"/>
    </row>
    <row r="7" customFormat="false" ht="30" hidden="false" customHeight="false" outlineLevel="0" collapsed="false">
      <c r="A7" s="0" t="s">
        <v>193</v>
      </c>
      <c r="B7" s="71" t="s">
        <v>50</v>
      </c>
      <c r="C7" s="71" t="s">
        <v>58</v>
      </c>
      <c r="D7" s="71" t="s">
        <v>190</v>
      </c>
      <c r="E7" s="0"/>
      <c r="F7" s="76" t="s">
        <v>194</v>
      </c>
      <c r="G7" s="76" t="s">
        <v>195</v>
      </c>
      <c r="H7" s="79" t="s">
        <v>196</v>
      </c>
      <c r="I7" s="86"/>
      <c r="J7" s="86"/>
      <c r="K7" s="86"/>
    </row>
    <row r="8" customFormat="false" ht="30" hidden="false" customHeight="false" outlineLevel="0" collapsed="false">
      <c r="A8" s="0" t="s">
        <v>197</v>
      </c>
      <c r="B8" s="71" t="s">
        <v>50</v>
      </c>
      <c r="C8" s="71" t="s">
        <v>58</v>
      </c>
      <c r="D8" s="71" t="s">
        <v>190</v>
      </c>
      <c r="E8" s="71" t="s">
        <v>193</v>
      </c>
      <c r="F8" s="76" t="s">
        <v>198</v>
      </c>
      <c r="G8" s="76" t="s">
        <v>199</v>
      </c>
      <c r="H8" s="79" t="s">
        <v>196</v>
      </c>
      <c r="I8" s="86"/>
      <c r="J8" s="86"/>
      <c r="K8" s="86"/>
    </row>
    <row r="9" customFormat="false" ht="45" hidden="false" customHeight="false" outlineLevel="0" collapsed="false">
      <c r="A9" s="0" t="s">
        <v>200</v>
      </c>
      <c r="B9" s="71" t="s">
        <v>50</v>
      </c>
      <c r="C9" s="71" t="s">
        <v>51</v>
      </c>
      <c r="F9" s="87" t="s">
        <v>201</v>
      </c>
      <c r="G9" s="76" t="s">
        <v>155</v>
      </c>
      <c r="H9" s="80" t="s">
        <v>202</v>
      </c>
      <c r="I9" s="86"/>
      <c r="J9" s="86"/>
      <c r="K9" s="86"/>
    </row>
    <row r="10" customFormat="false" ht="26.25" hidden="false" customHeight="false" outlineLevel="0" collapsed="false">
      <c r="A10" s="0" t="s">
        <v>203</v>
      </c>
      <c r="B10" s="71" t="s">
        <v>50</v>
      </c>
      <c r="C10" s="71" t="s">
        <v>51</v>
      </c>
      <c r="F10" s="76" t="s">
        <v>69</v>
      </c>
      <c r="G10" s="76" t="s">
        <v>142</v>
      </c>
      <c r="H10" s="81" t="s">
        <v>165</v>
      </c>
      <c r="I10" s="80"/>
      <c r="J10" s="80"/>
      <c r="K10" s="80"/>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pageSetUpPr fitToPage="false"/>
  </sheetPr>
  <dimension ref="A1:K6"/>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9" activeCellId="0" sqref="F9"/>
    </sheetView>
  </sheetViews>
  <sheetFormatPr defaultRowHeight="15"/>
  <cols>
    <col collapsed="false" hidden="false" max="1" min="1" style="0" width="4.45408163265306"/>
    <col collapsed="false" hidden="false" max="2" min="2" style="66" width="3.37244897959184"/>
    <col collapsed="false" hidden="false" max="3" min="3" style="66" width="5.12755102040816"/>
    <col collapsed="false" hidden="false" max="5" min="4" style="66" width="9.04591836734694"/>
    <col collapsed="false" hidden="false" max="6" min="6" style="0" width="33.2091836734694"/>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180</v>
      </c>
      <c r="B2" s="71" t="s">
        <v>50</v>
      </c>
      <c r="C2" s="71" t="s">
        <v>51</v>
      </c>
      <c r="D2" s="0"/>
      <c r="F2" s="76" t="s">
        <v>181</v>
      </c>
      <c r="G2" s="76" t="s">
        <v>155</v>
      </c>
      <c r="H2" s="79"/>
      <c r="I2" s="85"/>
      <c r="J2" s="85"/>
      <c r="K2" s="85"/>
    </row>
    <row r="3" customFormat="false" ht="15" hidden="false" customHeight="false" outlineLevel="0" collapsed="false">
      <c r="A3" s="0" t="s">
        <v>182</v>
      </c>
      <c r="B3" s="71" t="s">
        <v>50</v>
      </c>
      <c r="C3" s="71" t="s">
        <v>58</v>
      </c>
      <c r="D3" s="71" t="s">
        <v>180</v>
      </c>
      <c r="F3" s="76" t="s">
        <v>183</v>
      </c>
      <c r="G3" s="76" t="s">
        <v>138</v>
      </c>
      <c r="H3" s="79"/>
      <c r="I3" s="85"/>
      <c r="J3" s="85"/>
      <c r="K3" s="85"/>
    </row>
    <row r="4" customFormat="false" ht="15" hidden="false" customHeight="false" outlineLevel="0" collapsed="false">
      <c r="A4" s="0" t="s">
        <v>184</v>
      </c>
      <c r="B4" s="71" t="s">
        <v>50</v>
      </c>
      <c r="C4" s="71" t="s">
        <v>58</v>
      </c>
      <c r="D4" s="71" t="s">
        <v>180</v>
      </c>
      <c r="F4" s="76" t="s">
        <v>185</v>
      </c>
      <c r="G4" s="76" t="s">
        <v>157</v>
      </c>
      <c r="H4" s="79" t="s">
        <v>186</v>
      </c>
      <c r="I4" s="85"/>
      <c r="J4" s="85"/>
      <c r="K4" s="85"/>
    </row>
    <row r="5" customFormat="false" ht="15" hidden="false" customHeight="false" outlineLevel="0" collapsed="false">
      <c r="A5" s="0" t="s">
        <v>187</v>
      </c>
      <c r="B5" s="71" t="s">
        <v>50</v>
      </c>
      <c r="C5" s="71" t="s">
        <v>58</v>
      </c>
      <c r="D5" s="71" t="s">
        <v>180</v>
      </c>
      <c r="F5" s="76" t="s">
        <v>188</v>
      </c>
      <c r="G5" s="76" t="s">
        <v>155</v>
      </c>
      <c r="H5" s="79" t="s">
        <v>189</v>
      </c>
      <c r="I5" s="86"/>
      <c r="J5" s="86"/>
      <c r="K5" s="86"/>
    </row>
    <row r="6" customFormat="false" ht="26.25" hidden="false" customHeight="false" outlineLevel="0" collapsed="false">
      <c r="A6" s="0" t="s">
        <v>190</v>
      </c>
      <c r="B6" s="71" t="s">
        <v>50</v>
      </c>
      <c r="C6" s="71" t="s">
        <v>51</v>
      </c>
      <c r="F6" s="76" t="s">
        <v>69</v>
      </c>
      <c r="G6" s="76" t="s">
        <v>142</v>
      </c>
      <c r="H6" s="81" t="s">
        <v>165</v>
      </c>
      <c r="I6" s="80"/>
      <c r="J6" s="80"/>
      <c r="K6" s="80"/>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pageSetUpPr fitToPage="false"/>
  </sheetPr>
  <dimension ref="A1:K2"/>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30" hidden="false" customHeight="false" outlineLevel="0" collapsed="false">
      <c r="A2" s="0" t="s">
        <v>167</v>
      </c>
      <c r="B2" s="71" t="s">
        <v>50</v>
      </c>
      <c r="C2" s="71" t="s">
        <v>51</v>
      </c>
      <c r="F2" s="76" t="s">
        <v>204</v>
      </c>
      <c r="G2" s="1" t="s">
        <v>142</v>
      </c>
      <c r="H2" s="79" t="s">
        <v>205</v>
      </c>
      <c r="I2" s="85"/>
      <c r="J2" s="85"/>
      <c r="K2"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pageSetUpPr fitToPage="false"/>
  </sheetPr>
  <dimension ref="A1:K5"/>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3" activeCellId="0" sqref="F3"/>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45" hidden="false" customHeight="false" outlineLevel="0" collapsed="false">
      <c r="A2" s="0" t="s">
        <v>206</v>
      </c>
      <c r="B2" s="71" t="s">
        <v>50</v>
      </c>
      <c r="C2" s="71" t="s">
        <v>58</v>
      </c>
      <c r="D2" s="71" t="s">
        <v>207</v>
      </c>
      <c r="F2" s="76" t="s">
        <v>208</v>
      </c>
      <c r="G2" s="1" t="s">
        <v>209</v>
      </c>
      <c r="H2" s="79" t="s">
        <v>210</v>
      </c>
      <c r="I2" s="85"/>
      <c r="J2" s="85"/>
      <c r="K2" s="85"/>
    </row>
    <row r="3" customFormat="false" ht="45" hidden="false" customHeight="false" outlineLevel="0" collapsed="false">
      <c r="A3" s="0" t="s">
        <v>207</v>
      </c>
      <c r="B3" s="71" t="s">
        <v>50</v>
      </c>
      <c r="C3" s="71" t="s">
        <v>51</v>
      </c>
      <c r="D3" s="0"/>
      <c r="F3" s="76" t="s">
        <v>211</v>
      </c>
      <c r="G3" s="1" t="s">
        <v>212</v>
      </c>
      <c r="H3" s="79" t="s">
        <v>213</v>
      </c>
      <c r="I3" s="85"/>
      <c r="J3" s="85"/>
      <c r="K3" s="85"/>
    </row>
    <row r="4" customFormat="false" ht="30" hidden="false" customHeight="false" outlineLevel="0" collapsed="false">
      <c r="A4" s="0" t="s">
        <v>214</v>
      </c>
      <c r="B4" s="71" t="s">
        <v>50</v>
      </c>
      <c r="C4" s="71" t="s">
        <v>58</v>
      </c>
      <c r="D4" s="71" t="s">
        <v>70</v>
      </c>
      <c r="F4" s="76" t="s">
        <v>215</v>
      </c>
      <c r="G4" s="76" t="s">
        <v>216</v>
      </c>
      <c r="H4" s="79" t="s">
        <v>217</v>
      </c>
      <c r="I4" s="85"/>
      <c r="J4" s="85"/>
      <c r="K4" s="85"/>
    </row>
    <row r="5" customFormat="false" ht="60" hidden="false" customHeight="false" outlineLevel="0" collapsed="false">
      <c r="A5" s="0" t="s">
        <v>218</v>
      </c>
      <c r="B5" s="71" t="s">
        <v>50</v>
      </c>
      <c r="C5" s="71" t="s">
        <v>51</v>
      </c>
      <c r="F5" s="76" t="s">
        <v>219</v>
      </c>
      <c r="G5" s="71" t="s">
        <v>220</v>
      </c>
      <c r="H5" s="79" t="s">
        <v>221</v>
      </c>
      <c r="I5" s="85"/>
      <c r="J5" s="85"/>
      <c r="K5"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pageSetUpPr fitToPage="false"/>
  </sheetPr>
  <dimension ref="A1:K6"/>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4" activeCellId="0" sqref="G4"/>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45" hidden="false" customHeight="false" outlineLevel="0" collapsed="false">
      <c r="A2" s="0" t="s">
        <v>167</v>
      </c>
      <c r="B2" s="71" t="s">
        <v>50</v>
      </c>
      <c r="C2" s="71" t="s">
        <v>58</v>
      </c>
      <c r="D2" s="71" t="s">
        <v>169</v>
      </c>
      <c r="F2" s="76" t="s">
        <v>208</v>
      </c>
      <c r="G2" s="1" t="s">
        <v>209</v>
      </c>
      <c r="H2" s="79" t="s">
        <v>222</v>
      </c>
      <c r="I2" s="85"/>
      <c r="J2" s="85"/>
      <c r="K2" s="85"/>
    </row>
    <row r="3" customFormat="false" ht="30" hidden="false" customHeight="false" outlineLevel="0" collapsed="false">
      <c r="A3" s="0" t="s">
        <v>169</v>
      </c>
      <c r="B3" s="71" t="s">
        <v>50</v>
      </c>
      <c r="C3" s="71" t="s">
        <v>51</v>
      </c>
      <c r="D3" s="0"/>
      <c r="F3" s="76" t="s">
        <v>211</v>
      </c>
      <c r="G3" s="76" t="s">
        <v>212</v>
      </c>
      <c r="H3" s="79" t="s">
        <v>223</v>
      </c>
      <c r="I3" s="85"/>
      <c r="J3" s="85"/>
      <c r="K3" s="85"/>
    </row>
    <row r="4" customFormat="false" ht="30" hidden="false" customHeight="false" outlineLevel="0" collapsed="false">
      <c r="A4" s="0" t="s">
        <v>171</v>
      </c>
      <c r="B4" s="71" t="s">
        <v>50</v>
      </c>
      <c r="C4" s="71" t="s">
        <v>58</v>
      </c>
      <c r="D4" s="71" t="s">
        <v>70</v>
      </c>
      <c r="F4" s="76" t="s">
        <v>215</v>
      </c>
      <c r="G4" s="71" t="s">
        <v>216</v>
      </c>
      <c r="H4" s="79" t="s">
        <v>217</v>
      </c>
      <c r="I4" s="85"/>
      <c r="J4" s="85"/>
      <c r="K4" s="85"/>
    </row>
    <row r="5" customFormat="false" ht="30" hidden="false" customHeight="false" outlineLevel="0" collapsed="false">
      <c r="A5" s="0" t="s">
        <v>174</v>
      </c>
      <c r="B5" s="71" t="s">
        <v>50</v>
      </c>
      <c r="C5" s="71" t="s">
        <v>58</v>
      </c>
      <c r="D5" s="71" t="s">
        <v>177</v>
      </c>
      <c r="F5" s="76" t="s">
        <v>224</v>
      </c>
      <c r="G5" s="71" t="s">
        <v>142</v>
      </c>
      <c r="H5" s="79" t="s">
        <v>225</v>
      </c>
      <c r="I5" s="85"/>
      <c r="J5" s="85"/>
      <c r="K5" s="85"/>
    </row>
    <row r="6" customFormat="false" ht="30" hidden="false" customHeight="false" outlineLevel="0" collapsed="false">
      <c r="A6" s="0" t="s">
        <v>177</v>
      </c>
      <c r="B6" s="71" t="s">
        <v>50</v>
      </c>
      <c r="C6" s="71" t="s">
        <v>51</v>
      </c>
      <c r="F6" s="76" t="s">
        <v>226</v>
      </c>
      <c r="G6" s="71" t="s">
        <v>166</v>
      </c>
      <c r="H6" s="79" t="s">
        <v>223</v>
      </c>
      <c r="I6" s="85"/>
      <c r="J6" s="85"/>
      <c r="K6"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pageSetUpPr fitToPage="false"/>
  </sheetPr>
  <dimension ref="A1:K5"/>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13" activeCellId="0" sqref="H13"/>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30" hidden="false" customHeight="false" outlineLevel="0" collapsed="false">
      <c r="A2" s="0" t="s">
        <v>227</v>
      </c>
      <c r="B2" s="71" t="s">
        <v>50</v>
      </c>
      <c r="C2" s="71" t="s">
        <v>51</v>
      </c>
      <c r="F2" s="76" t="s">
        <v>228</v>
      </c>
      <c r="G2" s="1" t="s">
        <v>142</v>
      </c>
      <c r="H2" s="79" t="s">
        <v>229</v>
      </c>
      <c r="I2" s="85"/>
      <c r="J2" s="85"/>
      <c r="K2" s="85"/>
    </row>
    <row r="3" customFormat="false" ht="60" hidden="false" customHeight="false" outlineLevel="0" collapsed="false">
      <c r="A3" s="0" t="s">
        <v>230</v>
      </c>
      <c r="B3" s="71" t="s">
        <v>50</v>
      </c>
      <c r="C3" s="71" t="s">
        <v>51</v>
      </c>
      <c r="F3" s="76" t="s">
        <v>231</v>
      </c>
      <c r="G3" s="76" t="s">
        <v>142</v>
      </c>
      <c r="H3" s="79" t="s">
        <v>232</v>
      </c>
      <c r="I3" s="85"/>
      <c r="J3" s="85"/>
      <c r="K3" s="85"/>
    </row>
    <row r="4" customFormat="false" ht="15" hidden="false" customHeight="false" outlineLevel="0" collapsed="false">
      <c r="A4" s="0" t="s">
        <v>233</v>
      </c>
      <c r="B4" s="71" t="s">
        <v>50</v>
      </c>
      <c r="C4" s="71" t="s">
        <v>51</v>
      </c>
      <c r="F4" s="76" t="s">
        <v>234</v>
      </c>
      <c r="G4" s="1" t="s">
        <v>155</v>
      </c>
      <c r="H4" s="79" t="s">
        <v>235</v>
      </c>
      <c r="I4" s="85"/>
      <c r="J4" s="85"/>
      <c r="K4" s="85"/>
    </row>
    <row r="5" customFormat="false" ht="15" hidden="false" customHeight="false" outlineLevel="0" collapsed="false">
      <c r="A5" s="0" t="s">
        <v>236</v>
      </c>
      <c r="B5" s="71" t="s">
        <v>50</v>
      </c>
      <c r="C5" s="71" t="s">
        <v>51</v>
      </c>
      <c r="F5" s="76" t="s">
        <v>234</v>
      </c>
      <c r="G5" s="76" t="s">
        <v>162</v>
      </c>
      <c r="H5" s="79" t="s">
        <v>235</v>
      </c>
      <c r="I5" s="85"/>
      <c r="J5" s="85"/>
      <c r="K5"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sheetPr filterMode="false">
    <pageSetUpPr fitToPage="false"/>
  </sheetPr>
  <dimension ref="A1:K4"/>
  <sheetViews>
    <sheetView windowProtection="false"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G11" activeCellId="0" sqref="G11"/>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30" hidden="false" customHeight="false" outlineLevel="0" collapsed="false">
      <c r="A2" s="0" t="s">
        <v>227</v>
      </c>
      <c r="B2" s="71" t="s">
        <v>50</v>
      </c>
      <c r="C2" s="71" t="s">
        <v>51</v>
      </c>
      <c r="F2" s="76" t="s">
        <v>228</v>
      </c>
      <c r="G2" s="1" t="s">
        <v>142</v>
      </c>
      <c r="H2" s="79" t="s">
        <v>229</v>
      </c>
      <c r="I2" s="85"/>
      <c r="J2" s="85"/>
      <c r="K2" s="85"/>
    </row>
    <row r="3" customFormat="false" ht="60" hidden="false" customHeight="false" outlineLevel="0" collapsed="false">
      <c r="A3" s="0" t="s">
        <v>230</v>
      </c>
      <c r="B3" s="71" t="s">
        <v>50</v>
      </c>
      <c r="C3" s="71" t="s">
        <v>51</v>
      </c>
      <c r="F3" s="76" t="s">
        <v>231</v>
      </c>
      <c r="G3" s="76" t="s">
        <v>142</v>
      </c>
      <c r="H3" s="79" t="s">
        <v>232</v>
      </c>
      <c r="I3" s="85"/>
      <c r="J3" s="85"/>
      <c r="K3" s="85"/>
    </row>
    <row r="4" customFormat="false" ht="15" hidden="false" customHeight="false" outlineLevel="0" collapsed="false">
      <c r="A4" s="0" t="s">
        <v>233</v>
      </c>
      <c r="B4" s="71" t="s">
        <v>50</v>
      </c>
      <c r="C4" s="71" t="s">
        <v>51</v>
      </c>
      <c r="F4" s="76" t="s">
        <v>234</v>
      </c>
      <c r="G4" s="1" t="s">
        <v>155</v>
      </c>
      <c r="H4" s="79" t="s">
        <v>235</v>
      </c>
      <c r="I4" s="85"/>
      <c r="J4" s="85"/>
      <c r="K4"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sheetPr filterMode="false">
    <pageSetUpPr fitToPage="false"/>
  </sheetPr>
  <dimension ref="A1:K9"/>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9" activeCellId="0" sqref="G9"/>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237</v>
      </c>
      <c r="B2" s="71" t="s">
        <v>50</v>
      </c>
      <c r="C2" s="71" t="s">
        <v>51</v>
      </c>
      <c r="D2" s="0"/>
      <c r="F2" s="76" t="s">
        <v>238</v>
      </c>
      <c r="G2" s="1" t="s">
        <v>239</v>
      </c>
      <c r="H2" s="79" t="s">
        <v>240</v>
      </c>
      <c r="I2" s="85"/>
      <c r="J2" s="85"/>
      <c r="K2" s="85"/>
    </row>
    <row r="3" customFormat="false" ht="30" hidden="false" customHeight="false" outlineLevel="0" collapsed="false">
      <c r="A3" s="0" t="s">
        <v>241</v>
      </c>
      <c r="B3" s="71" t="s">
        <v>50</v>
      </c>
      <c r="C3" s="71" t="s">
        <v>51</v>
      </c>
      <c r="D3" s="0"/>
      <c r="F3" s="76" t="s">
        <v>242</v>
      </c>
      <c r="G3" s="1" t="s">
        <v>142</v>
      </c>
      <c r="H3" s="79" t="s">
        <v>243</v>
      </c>
      <c r="I3" s="85"/>
      <c r="J3" s="85"/>
      <c r="K3" s="85"/>
    </row>
    <row r="4" customFormat="false" ht="30" hidden="false" customHeight="false" outlineLevel="0" collapsed="false">
      <c r="A4" s="0" t="s">
        <v>244</v>
      </c>
      <c r="B4" s="71" t="s">
        <v>50</v>
      </c>
      <c r="C4" s="71" t="s">
        <v>58</v>
      </c>
      <c r="D4" s="71" t="s">
        <v>70</v>
      </c>
      <c r="F4" s="76" t="s">
        <v>245</v>
      </c>
      <c r="G4" s="1" t="s">
        <v>142</v>
      </c>
      <c r="H4" s="79" t="s">
        <v>246</v>
      </c>
      <c r="I4" s="85"/>
      <c r="J4" s="85"/>
      <c r="K4" s="85"/>
    </row>
    <row r="5" customFormat="false" ht="15" hidden="false" customHeight="false" outlineLevel="0" collapsed="false">
      <c r="A5" s="0" t="s">
        <v>247</v>
      </c>
      <c r="B5" s="71" t="s">
        <v>50</v>
      </c>
      <c r="C5" s="71" t="s">
        <v>58</v>
      </c>
      <c r="D5" s="71" t="s">
        <v>70</v>
      </c>
      <c r="F5" s="76" t="s">
        <v>248</v>
      </c>
      <c r="G5" s="1" t="s">
        <v>142</v>
      </c>
      <c r="H5" s="79" t="s">
        <v>249</v>
      </c>
      <c r="I5" s="85"/>
      <c r="J5" s="85"/>
      <c r="K5" s="85"/>
    </row>
    <row r="6" customFormat="false" ht="15" hidden="false" customHeight="false" outlineLevel="0" collapsed="false">
      <c r="A6" s="0" t="s">
        <v>250</v>
      </c>
      <c r="B6" s="71" t="s">
        <v>50</v>
      </c>
      <c r="C6" s="71" t="s">
        <v>51</v>
      </c>
      <c r="F6" s="76" t="s">
        <v>251</v>
      </c>
      <c r="G6" s="76" t="s">
        <v>252</v>
      </c>
      <c r="H6" s="79" t="s">
        <v>253</v>
      </c>
      <c r="I6" s="86"/>
      <c r="J6" s="86"/>
      <c r="K6" s="86"/>
    </row>
    <row r="7" customFormat="false" ht="15" hidden="false" customHeight="false" outlineLevel="0" collapsed="false">
      <c r="A7" s="0" t="s">
        <v>254</v>
      </c>
      <c r="B7" s="71" t="s">
        <v>50</v>
      </c>
      <c r="C7" s="71" t="s">
        <v>51</v>
      </c>
      <c r="F7" s="76" t="s">
        <v>255</v>
      </c>
      <c r="G7" s="76" t="s">
        <v>142</v>
      </c>
      <c r="H7" s="79" t="s">
        <v>256</v>
      </c>
      <c r="I7" s="86"/>
      <c r="J7" s="86"/>
      <c r="K7" s="86"/>
    </row>
    <row r="8" customFormat="false" ht="15" hidden="false" customHeight="false" outlineLevel="0" collapsed="false">
      <c r="A8" s="0" t="s">
        <v>257</v>
      </c>
      <c r="B8" s="71" t="s">
        <v>50</v>
      </c>
      <c r="C8" s="71" t="s">
        <v>51</v>
      </c>
      <c r="F8" s="76" t="s">
        <v>258</v>
      </c>
      <c r="G8" s="76" t="s">
        <v>155</v>
      </c>
      <c r="H8" s="79" t="s">
        <v>256</v>
      </c>
      <c r="I8" s="86"/>
      <c r="J8" s="86"/>
      <c r="K8" s="86"/>
    </row>
    <row r="9" customFormat="false" ht="30" hidden="false" customHeight="false" outlineLevel="0" collapsed="false">
      <c r="A9" s="0" t="s">
        <v>259</v>
      </c>
      <c r="B9" s="71" t="s">
        <v>50</v>
      </c>
      <c r="C9" s="71" t="s">
        <v>51</v>
      </c>
      <c r="F9" s="76" t="s">
        <v>260</v>
      </c>
      <c r="G9" s="76" t="s">
        <v>162</v>
      </c>
      <c r="H9" s="79" t="s">
        <v>261</v>
      </c>
      <c r="I9" s="86"/>
      <c r="J9" s="86"/>
      <c r="K9"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pageSetUpPr fitToPage="false"/>
  </sheetPr>
  <dimension ref="A1:K9"/>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9" activeCellId="0" sqref="A9"/>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37.6632653061224"/>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237</v>
      </c>
      <c r="B2" s="71" t="s">
        <v>50</v>
      </c>
      <c r="C2" s="71" t="s">
        <v>51</v>
      </c>
      <c r="D2" s="0"/>
      <c r="F2" s="76" t="s">
        <v>238</v>
      </c>
      <c r="G2" s="1" t="s">
        <v>239</v>
      </c>
      <c r="H2" s="79" t="s">
        <v>240</v>
      </c>
      <c r="I2" s="85"/>
      <c r="J2" s="85"/>
      <c r="K2" s="85"/>
    </row>
    <row r="3" customFormat="false" ht="30" hidden="false" customHeight="false" outlineLevel="0" collapsed="false">
      <c r="A3" s="0" t="s">
        <v>241</v>
      </c>
      <c r="B3" s="71" t="s">
        <v>50</v>
      </c>
      <c r="C3" s="71" t="s">
        <v>51</v>
      </c>
      <c r="D3" s="0"/>
      <c r="F3" s="76" t="s">
        <v>242</v>
      </c>
      <c r="G3" s="1" t="s">
        <v>138</v>
      </c>
      <c r="H3" s="79" t="s">
        <v>243</v>
      </c>
      <c r="I3" s="85"/>
      <c r="J3" s="85"/>
      <c r="K3" s="85"/>
    </row>
    <row r="4" customFormat="false" ht="30" hidden="false" customHeight="false" outlineLevel="0" collapsed="false">
      <c r="A4" s="0" t="s">
        <v>244</v>
      </c>
      <c r="B4" s="71" t="s">
        <v>50</v>
      </c>
      <c r="C4" s="71" t="s">
        <v>58</v>
      </c>
      <c r="D4" s="71" t="s">
        <v>70</v>
      </c>
      <c r="F4" s="76" t="s">
        <v>245</v>
      </c>
      <c r="G4" s="1" t="s">
        <v>216</v>
      </c>
      <c r="H4" s="79" t="s">
        <v>246</v>
      </c>
      <c r="I4" s="85"/>
      <c r="J4" s="85"/>
      <c r="K4" s="85"/>
    </row>
    <row r="5" customFormat="false" ht="15" hidden="false" customHeight="false" outlineLevel="0" collapsed="false">
      <c r="A5" s="0" t="s">
        <v>247</v>
      </c>
      <c r="B5" s="71" t="s">
        <v>50</v>
      </c>
      <c r="C5" s="71" t="s">
        <v>58</v>
      </c>
      <c r="D5" s="71" t="s">
        <v>70</v>
      </c>
      <c r="F5" s="76" t="s">
        <v>248</v>
      </c>
      <c r="G5" s="1" t="s">
        <v>216</v>
      </c>
      <c r="H5" s="79" t="s">
        <v>249</v>
      </c>
      <c r="I5" s="85"/>
      <c r="J5" s="85"/>
      <c r="K5" s="85"/>
    </row>
    <row r="6" customFormat="false" ht="15" hidden="false" customHeight="false" outlineLevel="0" collapsed="false">
      <c r="A6" s="0" t="s">
        <v>250</v>
      </c>
      <c r="B6" s="71" t="s">
        <v>50</v>
      </c>
      <c r="C6" s="71" t="s">
        <v>51</v>
      </c>
      <c r="F6" s="76" t="s">
        <v>251</v>
      </c>
      <c r="G6" s="76" t="s">
        <v>166</v>
      </c>
      <c r="H6" s="79" t="s">
        <v>253</v>
      </c>
      <c r="I6" s="86"/>
      <c r="J6" s="86"/>
      <c r="K6" s="86"/>
    </row>
    <row r="7" customFormat="false" ht="15" hidden="false" customHeight="false" outlineLevel="0" collapsed="false">
      <c r="A7" s="0" t="s">
        <v>254</v>
      </c>
      <c r="B7" s="71" t="s">
        <v>50</v>
      </c>
      <c r="C7" s="71" t="s">
        <v>51</v>
      </c>
      <c r="F7" s="76" t="s">
        <v>255</v>
      </c>
      <c r="G7" s="76" t="s">
        <v>142</v>
      </c>
      <c r="H7" s="79" t="s">
        <v>256</v>
      </c>
      <c r="I7" s="86"/>
      <c r="J7" s="86"/>
      <c r="K7" s="86"/>
    </row>
    <row r="8" customFormat="false" ht="15" hidden="false" customHeight="false" outlineLevel="0" collapsed="false">
      <c r="A8" s="0" t="s">
        <v>257</v>
      </c>
      <c r="B8" s="71" t="s">
        <v>50</v>
      </c>
      <c r="C8" s="71" t="s">
        <v>51</v>
      </c>
      <c r="F8" s="76" t="s">
        <v>258</v>
      </c>
      <c r="G8" s="76" t="s">
        <v>155</v>
      </c>
      <c r="H8" s="79" t="s">
        <v>256</v>
      </c>
      <c r="I8" s="86"/>
      <c r="J8" s="86"/>
      <c r="K8" s="86"/>
    </row>
    <row r="9" customFormat="false" ht="30" hidden="false" customHeight="false" outlineLevel="0" collapsed="false">
      <c r="A9" s="0" t="s">
        <v>259</v>
      </c>
      <c r="B9" s="71" t="s">
        <v>50</v>
      </c>
      <c r="C9" s="71" t="s">
        <v>51</v>
      </c>
      <c r="F9" s="76" t="s">
        <v>260</v>
      </c>
      <c r="G9" s="76" t="s">
        <v>155</v>
      </c>
      <c r="H9" s="79" t="s">
        <v>261</v>
      </c>
      <c r="I9" s="86"/>
      <c r="J9" s="86"/>
      <c r="K9"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pageSetUpPr fitToPage="false"/>
  </sheetPr>
  <dimension ref="A1:K3"/>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4" activeCellId="0" sqref="B4"/>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237</v>
      </c>
      <c r="B2" s="71" t="s">
        <v>50</v>
      </c>
      <c r="C2" s="71" t="s">
        <v>51</v>
      </c>
      <c r="F2" s="76" t="s">
        <v>262</v>
      </c>
      <c r="G2" s="1" t="s">
        <v>142</v>
      </c>
      <c r="H2" s="79"/>
      <c r="I2" s="85"/>
      <c r="J2" s="85"/>
      <c r="K2" s="85"/>
    </row>
    <row r="3" customFormat="false" ht="30" hidden="false" customHeight="false" outlineLevel="0" collapsed="false">
      <c r="A3" s="0" t="s">
        <v>241</v>
      </c>
      <c r="B3" s="71" t="s">
        <v>50</v>
      </c>
      <c r="C3" s="71" t="s">
        <v>51</v>
      </c>
      <c r="F3" s="76" t="s">
        <v>263</v>
      </c>
      <c r="G3" s="76" t="s">
        <v>140</v>
      </c>
      <c r="H3" s="79" t="s">
        <v>264</v>
      </c>
      <c r="I3" s="85"/>
      <c r="J3" s="85"/>
      <c r="K3"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pageSetUpPr fitToPage="false"/>
  </sheetPr>
  <dimension ref="A1:K2"/>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 activeCellId="0" sqref="F2"/>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37.7959183673469"/>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237</v>
      </c>
      <c r="B2" s="71" t="s">
        <v>265</v>
      </c>
      <c r="C2" s="71" t="s">
        <v>51</v>
      </c>
      <c r="F2" s="76" t="s">
        <v>266</v>
      </c>
      <c r="G2" s="1" t="s">
        <v>142</v>
      </c>
      <c r="H2" s="79" t="s">
        <v>267</v>
      </c>
      <c r="I2" s="85"/>
      <c r="J2" s="85"/>
      <c r="K2"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1:K2"/>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 activeCellId="0" sqref="E2"/>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45" hidden="false" customHeight="false" outlineLevel="0" collapsed="false">
      <c r="A2" s="0" t="s">
        <v>268</v>
      </c>
      <c r="B2" s="71" t="s">
        <v>50</v>
      </c>
      <c r="C2" s="71" t="s">
        <v>51</v>
      </c>
      <c r="E2" s="71" t="s">
        <v>76</v>
      </c>
      <c r="F2" s="76" t="s">
        <v>175</v>
      </c>
      <c r="G2" s="1" t="s">
        <v>269</v>
      </c>
      <c r="H2" s="79" t="s">
        <v>270</v>
      </c>
      <c r="I2" s="85"/>
      <c r="J2" s="85"/>
      <c r="K2"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pageSetUpPr fitToPage="false"/>
  </sheetPr>
  <dimension ref="A1:K4"/>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1" activeCellId="0" sqref="E11"/>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268</v>
      </c>
      <c r="B2" s="71" t="s">
        <v>50</v>
      </c>
      <c r="C2" s="71" t="s">
        <v>51</v>
      </c>
      <c r="E2" s="0"/>
      <c r="F2" s="76" t="s">
        <v>271</v>
      </c>
      <c r="G2" s="1" t="s">
        <v>212</v>
      </c>
      <c r="H2" s="79" t="s">
        <v>272</v>
      </c>
      <c r="I2" s="85"/>
      <c r="J2" s="85"/>
      <c r="K2" s="85"/>
    </row>
    <row r="3" customFormat="false" ht="30" hidden="false" customHeight="false" outlineLevel="0" collapsed="false">
      <c r="A3" s="0" t="s">
        <v>273</v>
      </c>
      <c r="B3" s="71" t="s">
        <v>50</v>
      </c>
      <c r="C3" s="71" t="s">
        <v>51</v>
      </c>
      <c r="E3" s="0"/>
      <c r="F3" s="76" t="s">
        <v>274</v>
      </c>
      <c r="G3" s="1" t="s">
        <v>212</v>
      </c>
      <c r="H3" s="79" t="s">
        <v>275</v>
      </c>
      <c r="I3" s="85"/>
      <c r="J3" s="85"/>
      <c r="K3" s="85"/>
    </row>
    <row r="4" customFormat="false" ht="30" hidden="false" customHeight="false" outlineLevel="0" collapsed="false">
      <c r="A4" s="0" t="s">
        <v>276</v>
      </c>
      <c r="B4" s="71" t="s">
        <v>50</v>
      </c>
      <c r="C4" s="71" t="s">
        <v>51</v>
      </c>
      <c r="E4" s="71" t="s">
        <v>78</v>
      </c>
      <c r="F4" s="76" t="s">
        <v>277</v>
      </c>
      <c r="G4" s="1" t="s">
        <v>269</v>
      </c>
      <c r="H4" s="79" t="s">
        <v>278</v>
      </c>
      <c r="I4" s="85"/>
      <c r="J4" s="85"/>
      <c r="K4"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A1:K6"/>
  <sheetViews>
    <sheetView windowProtection="false" showFormulas="false" showGridLines="true" showRowColHeaders="true" showZeros="true" rightToLeft="false" tabSelected="false" showOutlineSymbols="true" defaultGridColor="true" view="normal" topLeftCell="E1" colorId="64" zoomScale="100" zoomScaleNormal="100" zoomScalePageLayoutView="100" workbookViewId="0">
      <selection pane="topLeft" activeCell="H6" activeCellId="0" sqref="H6"/>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279</v>
      </c>
      <c r="B2" s="71" t="s">
        <v>50</v>
      </c>
      <c r="C2" s="71" t="s">
        <v>51</v>
      </c>
      <c r="F2" s="76" t="s">
        <v>280</v>
      </c>
      <c r="G2" s="1" t="s">
        <v>142</v>
      </c>
      <c r="H2" s="79" t="s">
        <v>281</v>
      </c>
      <c r="I2" s="85"/>
      <c r="J2" s="85"/>
      <c r="K2" s="85"/>
    </row>
    <row r="3" customFormat="false" ht="15" hidden="false" customHeight="false" outlineLevel="0" collapsed="false">
      <c r="A3" s="0" t="s">
        <v>282</v>
      </c>
      <c r="B3" s="71" t="s">
        <v>50</v>
      </c>
      <c r="C3" s="71" t="s">
        <v>51</v>
      </c>
      <c r="F3" s="76" t="s">
        <v>283</v>
      </c>
      <c r="G3" s="1" t="s">
        <v>142</v>
      </c>
      <c r="H3" s="79" t="s">
        <v>284</v>
      </c>
      <c r="I3" s="85"/>
      <c r="J3" s="85"/>
      <c r="K3" s="85"/>
    </row>
    <row r="4" customFormat="false" ht="15" hidden="false" customHeight="false" outlineLevel="0" collapsed="false">
      <c r="A4" s="0" t="s">
        <v>285</v>
      </c>
      <c r="B4" s="71" t="s">
        <v>50</v>
      </c>
      <c r="C4" s="71" t="s">
        <v>51</v>
      </c>
      <c r="F4" s="76" t="s">
        <v>286</v>
      </c>
      <c r="G4" s="1" t="s">
        <v>155</v>
      </c>
      <c r="H4" s="79" t="s">
        <v>287</v>
      </c>
      <c r="I4" s="85"/>
      <c r="J4" s="85"/>
      <c r="K4" s="85"/>
    </row>
    <row r="5" customFormat="false" ht="15" hidden="false" customHeight="false" outlineLevel="0" collapsed="false">
      <c r="A5" s="0" t="s">
        <v>288</v>
      </c>
      <c r="B5" s="71" t="s">
        <v>50</v>
      </c>
      <c r="C5" s="71" t="s">
        <v>51</v>
      </c>
      <c r="F5" s="76" t="s">
        <v>289</v>
      </c>
      <c r="G5" s="76" t="s">
        <v>162</v>
      </c>
      <c r="H5" s="79" t="s">
        <v>290</v>
      </c>
      <c r="I5" s="85"/>
      <c r="J5" s="85"/>
      <c r="K5" s="85"/>
    </row>
    <row r="6" customFormat="false" ht="15" hidden="false" customHeight="false" outlineLevel="0" collapsed="false">
      <c r="A6" s="0" t="s">
        <v>291</v>
      </c>
      <c r="B6" s="71" t="s">
        <v>50</v>
      </c>
      <c r="C6" s="71" t="s">
        <v>51</v>
      </c>
      <c r="F6" s="76" t="s">
        <v>69</v>
      </c>
      <c r="G6" s="76" t="s">
        <v>142</v>
      </c>
      <c r="H6" s="88" t="s">
        <v>165</v>
      </c>
      <c r="I6" s="86"/>
      <c r="J6" s="86"/>
      <c r="K6"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K4"/>
  <sheetViews>
    <sheetView windowProtection="false" showFormulas="false" showGridLines="true" showRowColHeaders="true" showZeros="true" rightToLeft="false" tabSelected="false" showOutlineSymbols="true" defaultGridColor="true" view="normal" topLeftCell="E1" colorId="64" zoomScale="100" zoomScaleNormal="100" zoomScalePageLayoutView="100" workbookViewId="0">
      <selection pane="topLeft" activeCell="H4" activeCellId="0" sqref="H4"/>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279</v>
      </c>
      <c r="B2" s="71" t="s">
        <v>50</v>
      </c>
      <c r="C2" s="71" t="s">
        <v>51</v>
      </c>
      <c r="F2" s="76" t="s">
        <v>280</v>
      </c>
      <c r="G2" s="1" t="s">
        <v>142</v>
      </c>
      <c r="H2" s="79" t="s">
        <v>281</v>
      </c>
      <c r="I2" s="85"/>
      <c r="J2" s="85"/>
      <c r="K2" s="85"/>
    </row>
    <row r="3" customFormat="false" ht="15" hidden="false" customHeight="false" outlineLevel="0" collapsed="false">
      <c r="A3" s="0" t="s">
        <v>282</v>
      </c>
      <c r="B3" s="71" t="s">
        <v>50</v>
      </c>
      <c r="C3" s="71" t="s">
        <v>51</v>
      </c>
      <c r="F3" s="76" t="s">
        <v>283</v>
      </c>
      <c r="G3" s="1" t="s">
        <v>142</v>
      </c>
      <c r="H3" s="79" t="s">
        <v>284</v>
      </c>
      <c r="I3" s="85"/>
      <c r="J3" s="85"/>
      <c r="K3" s="85"/>
    </row>
    <row r="4" customFormat="false" ht="15" hidden="false" customHeight="false" outlineLevel="0" collapsed="false">
      <c r="A4" s="0" t="s">
        <v>285</v>
      </c>
      <c r="B4" s="71" t="s">
        <v>50</v>
      </c>
      <c r="C4" s="71" t="s">
        <v>51</v>
      </c>
      <c r="F4" s="76" t="s">
        <v>69</v>
      </c>
      <c r="G4" s="76" t="s">
        <v>142</v>
      </c>
      <c r="H4" s="88" t="s">
        <v>165</v>
      </c>
      <c r="I4" s="86"/>
      <c r="J4" s="86"/>
      <c r="K4"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A1:K8"/>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16" activeCellId="0" sqref="H16"/>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30" hidden="false" customHeight="false" outlineLevel="0" collapsed="false">
      <c r="A2" s="0" t="s">
        <v>292</v>
      </c>
      <c r="B2" s="71" t="s">
        <v>50</v>
      </c>
      <c r="C2" s="71" t="s">
        <v>51</v>
      </c>
      <c r="F2" s="76" t="s">
        <v>293</v>
      </c>
      <c r="G2" s="1" t="s">
        <v>142</v>
      </c>
      <c r="H2" s="79" t="s">
        <v>294</v>
      </c>
      <c r="I2" s="85"/>
      <c r="J2" s="85"/>
      <c r="K2" s="85"/>
    </row>
    <row r="3" customFormat="false" ht="60" hidden="false" customHeight="false" outlineLevel="0" collapsed="false">
      <c r="A3" s="0" t="s">
        <v>295</v>
      </c>
      <c r="B3" s="71" t="s">
        <v>50</v>
      </c>
      <c r="C3" s="71" t="s">
        <v>51</v>
      </c>
      <c r="F3" s="76" t="s">
        <v>296</v>
      </c>
      <c r="G3" s="1" t="s">
        <v>142</v>
      </c>
      <c r="H3" s="79" t="s">
        <v>232</v>
      </c>
      <c r="I3" s="85"/>
      <c r="J3" s="85"/>
      <c r="K3" s="85"/>
    </row>
    <row r="4" customFormat="false" ht="45" hidden="false" customHeight="false" outlineLevel="0" collapsed="false">
      <c r="A4" s="0" t="s">
        <v>297</v>
      </c>
      <c r="B4" s="71" t="s">
        <v>50</v>
      </c>
      <c r="C4" s="71" t="s">
        <v>51</v>
      </c>
      <c r="F4" s="76" t="s">
        <v>181</v>
      </c>
      <c r="G4" s="1" t="s">
        <v>142</v>
      </c>
      <c r="H4" s="79" t="s">
        <v>298</v>
      </c>
      <c r="I4" s="85"/>
      <c r="J4" s="85"/>
      <c r="K4" s="85"/>
    </row>
    <row r="5" customFormat="false" ht="15" hidden="false" customHeight="false" outlineLevel="0" collapsed="false">
      <c r="A5" s="0" t="s">
        <v>299</v>
      </c>
      <c r="B5" s="71" t="s">
        <v>50</v>
      </c>
      <c r="C5" s="71" t="s">
        <v>51</v>
      </c>
      <c r="F5" s="76" t="s">
        <v>293</v>
      </c>
      <c r="G5" s="76" t="s">
        <v>155</v>
      </c>
      <c r="H5" s="79" t="s">
        <v>300</v>
      </c>
      <c r="I5" s="85"/>
      <c r="J5" s="85"/>
      <c r="K5" s="85"/>
    </row>
    <row r="6" customFormat="false" ht="45" hidden="false" customHeight="false" outlineLevel="0" collapsed="false">
      <c r="A6" s="0" t="s">
        <v>301</v>
      </c>
      <c r="B6" s="71" t="s">
        <v>50</v>
      </c>
      <c r="C6" s="71" t="s">
        <v>51</v>
      </c>
      <c r="F6" s="76" t="s">
        <v>181</v>
      </c>
      <c r="G6" s="76" t="s">
        <v>155</v>
      </c>
      <c r="H6" s="79" t="s">
        <v>302</v>
      </c>
      <c r="I6" s="85"/>
      <c r="J6" s="85"/>
      <c r="K6" s="85"/>
    </row>
    <row r="7" customFormat="false" ht="15" hidden="false" customHeight="false" outlineLevel="0" collapsed="false">
      <c r="A7" s="0" t="s">
        <v>303</v>
      </c>
      <c r="B7" s="71" t="s">
        <v>50</v>
      </c>
      <c r="C7" s="71" t="s">
        <v>51</v>
      </c>
      <c r="F7" s="76" t="s">
        <v>293</v>
      </c>
      <c r="G7" s="76" t="s">
        <v>162</v>
      </c>
      <c r="H7" s="79" t="s">
        <v>300</v>
      </c>
      <c r="I7" s="85"/>
      <c r="J7" s="85"/>
      <c r="K7" s="85"/>
    </row>
    <row r="8" customFormat="false" ht="45" hidden="false" customHeight="false" outlineLevel="0" collapsed="false">
      <c r="A8" s="0" t="s">
        <v>304</v>
      </c>
      <c r="B8" s="71" t="s">
        <v>50</v>
      </c>
      <c r="C8" s="71" t="s">
        <v>51</v>
      </c>
      <c r="F8" s="76" t="s">
        <v>181</v>
      </c>
      <c r="G8" s="76" t="s">
        <v>162</v>
      </c>
      <c r="H8" s="79" t="s">
        <v>302</v>
      </c>
      <c r="I8" s="86"/>
      <c r="J8" s="86"/>
      <c r="K8"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sheetPr filterMode="false">
    <pageSetUpPr fitToPage="false"/>
  </sheetPr>
  <dimension ref="A1:K6"/>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17" activeCellId="0" sqref="H17"/>
    </sheetView>
  </sheetViews>
  <sheetFormatPr defaultRowHeight="15"/>
  <cols>
    <col collapsed="false" hidden="false" max="1" min="1" style="0" width="3.23979591836735"/>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30" hidden="false" customHeight="false" outlineLevel="0" collapsed="false">
      <c r="A2" s="0" t="s">
        <v>292</v>
      </c>
      <c r="B2" s="71" t="s">
        <v>50</v>
      </c>
      <c r="C2" s="71" t="s">
        <v>51</v>
      </c>
      <c r="F2" s="76" t="s">
        <v>293</v>
      </c>
      <c r="G2" s="1" t="s">
        <v>142</v>
      </c>
      <c r="H2" s="79" t="s">
        <v>294</v>
      </c>
      <c r="I2" s="85"/>
      <c r="J2" s="85"/>
      <c r="K2" s="85"/>
    </row>
    <row r="3" customFormat="false" ht="60" hidden="false" customHeight="false" outlineLevel="0" collapsed="false">
      <c r="A3" s="0" t="s">
        <v>295</v>
      </c>
      <c r="B3" s="71" t="s">
        <v>50</v>
      </c>
      <c r="C3" s="71" t="s">
        <v>51</v>
      </c>
      <c r="F3" s="76" t="s">
        <v>296</v>
      </c>
      <c r="G3" s="1" t="s">
        <v>142</v>
      </c>
      <c r="H3" s="79" t="s">
        <v>232</v>
      </c>
      <c r="I3" s="85"/>
      <c r="J3" s="85"/>
      <c r="K3" s="85"/>
    </row>
    <row r="4" customFormat="false" ht="45" hidden="false" customHeight="false" outlineLevel="0" collapsed="false">
      <c r="A4" s="0" t="s">
        <v>297</v>
      </c>
      <c r="B4" s="71" t="s">
        <v>50</v>
      </c>
      <c r="C4" s="71" t="s">
        <v>51</v>
      </c>
      <c r="F4" s="76" t="s">
        <v>181</v>
      </c>
      <c r="G4" s="1" t="s">
        <v>142</v>
      </c>
      <c r="H4" s="79" t="s">
        <v>298</v>
      </c>
      <c r="I4" s="85"/>
      <c r="J4" s="85"/>
      <c r="K4" s="85"/>
    </row>
    <row r="5" customFormat="false" ht="15" hidden="false" customHeight="false" outlineLevel="0" collapsed="false">
      <c r="A5" s="0" t="s">
        <v>299</v>
      </c>
      <c r="B5" s="71" t="s">
        <v>50</v>
      </c>
      <c r="C5" s="71" t="s">
        <v>51</v>
      </c>
      <c r="F5" s="76" t="s">
        <v>293</v>
      </c>
      <c r="G5" s="76" t="s">
        <v>155</v>
      </c>
      <c r="H5" s="79" t="s">
        <v>300</v>
      </c>
      <c r="I5" s="85"/>
      <c r="J5" s="85"/>
      <c r="K5" s="85"/>
    </row>
    <row r="6" customFormat="false" ht="45" hidden="false" customHeight="false" outlineLevel="0" collapsed="false">
      <c r="A6" s="0" t="s">
        <v>301</v>
      </c>
      <c r="B6" s="71" t="s">
        <v>50</v>
      </c>
      <c r="C6" s="71" t="s">
        <v>51</v>
      </c>
      <c r="F6" s="76" t="s">
        <v>181</v>
      </c>
      <c r="G6" s="76" t="s">
        <v>155</v>
      </c>
      <c r="H6" s="79" t="s">
        <v>302</v>
      </c>
      <c r="I6" s="85"/>
      <c r="J6" s="85"/>
      <c r="K6" s="85"/>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sheetPr filterMode="false">
    <pageSetUpPr fitToPage="false"/>
  </sheetPr>
  <dimension ref="A1:K12"/>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2" activeCellId="0" sqref="G12"/>
    </sheetView>
  </sheetViews>
  <sheetFormatPr defaultRowHeight="15"/>
  <cols>
    <col collapsed="false" hidden="false" max="1" min="1" style="0" width="4.32142857142857"/>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305</v>
      </c>
      <c r="B2" s="71" t="s">
        <v>50</v>
      </c>
      <c r="C2" s="71" t="s">
        <v>51</v>
      </c>
      <c r="D2" s="0"/>
      <c r="E2" s="0"/>
      <c r="F2" s="76" t="s">
        <v>306</v>
      </c>
      <c r="G2" s="1" t="s">
        <v>142</v>
      </c>
      <c r="H2" s="79"/>
      <c r="I2" s="85"/>
      <c r="J2" s="85"/>
      <c r="K2" s="85"/>
    </row>
    <row r="3" customFormat="false" ht="30" hidden="false" customHeight="false" outlineLevel="0" collapsed="false">
      <c r="A3" s="0" t="s">
        <v>307</v>
      </c>
      <c r="B3" s="71" t="s">
        <v>50</v>
      </c>
      <c r="C3" s="71" t="s">
        <v>58</v>
      </c>
      <c r="D3" s="71" t="s">
        <v>305</v>
      </c>
      <c r="E3" s="0"/>
      <c r="F3" s="76" t="s">
        <v>293</v>
      </c>
      <c r="G3" s="1" t="s">
        <v>142</v>
      </c>
      <c r="H3" s="79" t="s">
        <v>308</v>
      </c>
      <c r="I3" s="85"/>
      <c r="J3" s="85"/>
      <c r="K3" s="85"/>
    </row>
    <row r="4" customFormat="false" ht="30" hidden="false" customHeight="false" outlineLevel="0" collapsed="false">
      <c r="A4" s="0" t="s">
        <v>309</v>
      </c>
      <c r="B4" s="71" t="s">
        <v>50</v>
      </c>
      <c r="C4" s="71" t="s">
        <v>58</v>
      </c>
      <c r="D4" s="71" t="s">
        <v>305</v>
      </c>
      <c r="E4" s="0"/>
      <c r="F4" s="76" t="s">
        <v>310</v>
      </c>
      <c r="G4" s="1" t="s">
        <v>142</v>
      </c>
      <c r="H4" s="79" t="s">
        <v>311</v>
      </c>
      <c r="I4" s="85"/>
      <c r="J4" s="85"/>
      <c r="K4" s="85"/>
    </row>
    <row r="5" customFormat="false" ht="45" hidden="false" customHeight="false" outlineLevel="0" collapsed="false">
      <c r="A5" s="0" t="s">
        <v>312</v>
      </c>
      <c r="B5" s="71" t="s">
        <v>50</v>
      </c>
      <c r="C5" s="71" t="s">
        <v>58</v>
      </c>
      <c r="D5" s="71" t="s">
        <v>305</v>
      </c>
      <c r="E5" s="0"/>
      <c r="F5" s="76" t="s">
        <v>313</v>
      </c>
      <c r="G5" s="76" t="s">
        <v>142</v>
      </c>
      <c r="H5" s="79" t="s">
        <v>314</v>
      </c>
      <c r="I5" s="85"/>
      <c r="J5" s="85"/>
      <c r="K5" s="85"/>
    </row>
    <row r="6" customFormat="false" ht="15" hidden="false" customHeight="false" outlineLevel="0" collapsed="false">
      <c r="A6" s="0" t="s">
        <v>315</v>
      </c>
      <c r="B6" s="71" t="s">
        <v>50</v>
      </c>
      <c r="C6" s="71" t="s">
        <v>51</v>
      </c>
      <c r="D6" s="0"/>
      <c r="E6" s="0"/>
      <c r="F6" s="76" t="s">
        <v>316</v>
      </c>
      <c r="G6" s="76" t="s">
        <v>155</v>
      </c>
      <c r="H6" s="79"/>
      <c r="I6" s="85"/>
      <c r="J6" s="85"/>
      <c r="K6" s="85"/>
    </row>
    <row r="7" customFormat="false" ht="45" hidden="false" customHeight="false" outlineLevel="0" collapsed="false">
      <c r="A7" s="0" t="s">
        <v>317</v>
      </c>
      <c r="B7" s="71" t="s">
        <v>50</v>
      </c>
      <c r="C7" s="71" t="s">
        <v>58</v>
      </c>
      <c r="D7" s="71" t="s">
        <v>315</v>
      </c>
      <c r="E7" s="0"/>
      <c r="F7" s="76" t="s">
        <v>293</v>
      </c>
      <c r="G7" s="76" t="s">
        <v>155</v>
      </c>
      <c r="H7" s="79" t="s">
        <v>318</v>
      </c>
      <c r="I7" s="85"/>
      <c r="J7" s="85"/>
      <c r="K7" s="85"/>
    </row>
    <row r="8" customFormat="false" ht="30" hidden="false" customHeight="false" outlineLevel="0" collapsed="false">
      <c r="A8" s="0" t="s">
        <v>319</v>
      </c>
      <c r="B8" s="71" t="s">
        <v>50</v>
      </c>
      <c r="C8" s="71" t="s">
        <v>58</v>
      </c>
      <c r="D8" s="71" t="s">
        <v>315</v>
      </c>
      <c r="E8" s="0"/>
      <c r="F8" s="76" t="s">
        <v>320</v>
      </c>
      <c r="G8" s="76" t="s">
        <v>155</v>
      </c>
      <c r="H8" s="79" t="s">
        <v>321</v>
      </c>
      <c r="I8" s="86"/>
      <c r="J8" s="86"/>
      <c r="K8" s="86"/>
    </row>
    <row r="9" customFormat="false" ht="60" hidden="false" customHeight="false" outlineLevel="0" collapsed="false">
      <c r="A9" s="0" t="s">
        <v>322</v>
      </c>
      <c r="B9" s="71" t="s">
        <v>50</v>
      </c>
      <c r="C9" s="71" t="s">
        <v>58</v>
      </c>
      <c r="D9" s="71" t="s">
        <v>315</v>
      </c>
      <c r="E9" s="0"/>
      <c r="F9" s="76" t="s">
        <v>313</v>
      </c>
      <c r="G9" s="76" t="s">
        <v>155</v>
      </c>
      <c r="H9" s="79" t="s">
        <v>323</v>
      </c>
      <c r="I9" s="86"/>
      <c r="J9" s="86"/>
      <c r="K9" s="86"/>
    </row>
    <row r="10" customFormat="false" ht="15" hidden="false" customHeight="false" outlineLevel="0" collapsed="false">
      <c r="A10" s="0" t="s">
        <v>324</v>
      </c>
      <c r="B10" s="71" t="s">
        <v>50</v>
      </c>
      <c r="C10" s="71" t="s">
        <v>51</v>
      </c>
      <c r="D10" s="0"/>
      <c r="E10" s="71" t="s">
        <v>76</v>
      </c>
      <c r="F10" s="76" t="s">
        <v>325</v>
      </c>
      <c r="G10" s="76" t="s">
        <v>145</v>
      </c>
      <c r="H10" s="79"/>
      <c r="I10" s="86"/>
      <c r="J10" s="86"/>
      <c r="K10" s="86"/>
    </row>
    <row r="11" customFormat="false" ht="30" hidden="false" customHeight="false" outlineLevel="0" collapsed="false">
      <c r="A11" s="0" t="s">
        <v>326</v>
      </c>
      <c r="B11" s="71" t="s">
        <v>50</v>
      </c>
      <c r="C11" s="71" t="s">
        <v>58</v>
      </c>
      <c r="D11" s="71" t="s">
        <v>324</v>
      </c>
      <c r="E11" s="71" t="s">
        <v>76</v>
      </c>
      <c r="F11" s="78" t="s">
        <v>293</v>
      </c>
      <c r="G11" s="76" t="s">
        <v>145</v>
      </c>
      <c r="H11" s="79" t="s">
        <v>327</v>
      </c>
      <c r="I11" s="86"/>
      <c r="J11" s="86"/>
      <c r="K11" s="86"/>
    </row>
    <row r="12" customFormat="false" ht="60" hidden="false" customHeight="false" outlineLevel="0" collapsed="false">
      <c r="A12" s="0" t="s">
        <v>328</v>
      </c>
      <c r="B12" s="71" t="s">
        <v>50</v>
      </c>
      <c r="C12" s="71" t="s">
        <v>58</v>
      </c>
      <c r="D12" s="71" t="s">
        <v>324</v>
      </c>
      <c r="F12" s="87" t="s">
        <v>313</v>
      </c>
      <c r="G12" s="76" t="s">
        <v>162</v>
      </c>
      <c r="H12" s="80" t="s">
        <v>323</v>
      </c>
      <c r="I12" s="86"/>
      <c r="J12" s="86"/>
      <c r="K12"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sheetPr filterMode="false">
    <pageSetUpPr fitToPage="false"/>
  </sheetPr>
  <dimension ref="A1:K9"/>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9" activeCellId="0" sqref="G9"/>
    </sheetView>
  </sheetViews>
  <sheetFormatPr defaultRowHeight="15"/>
  <cols>
    <col collapsed="false" hidden="false" max="1" min="1" style="0" width="4.32142857142857"/>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305</v>
      </c>
      <c r="B2" s="71" t="s">
        <v>50</v>
      </c>
      <c r="C2" s="71" t="s">
        <v>51</v>
      </c>
      <c r="D2" s="0"/>
      <c r="E2" s="0"/>
      <c r="F2" s="76" t="s">
        <v>306</v>
      </c>
      <c r="G2" s="1" t="s">
        <v>142</v>
      </c>
      <c r="H2" s="79"/>
      <c r="I2" s="85"/>
      <c r="J2" s="85"/>
      <c r="K2" s="85"/>
    </row>
    <row r="3" customFormat="false" ht="30" hidden="false" customHeight="false" outlineLevel="0" collapsed="false">
      <c r="A3" s="0" t="s">
        <v>307</v>
      </c>
      <c r="B3" s="71" t="s">
        <v>50</v>
      </c>
      <c r="C3" s="71" t="s">
        <v>58</v>
      </c>
      <c r="D3" s="71" t="s">
        <v>305</v>
      </c>
      <c r="E3" s="0"/>
      <c r="F3" s="76" t="s">
        <v>293</v>
      </c>
      <c r="G3" s="1" t="s">
        <v>142</v>
      </c>
      <c r="H3" s="79" t="s">
        <v>308</v>
      </c>
      <c r="I3" s="85"/>
      <c r="J3" s="85"/>
      <c r="K3" s="85"/>
    </row>
    <row r="4" customFormat="false" ht="30" hidden="false" customHeight="false" outlineLevel="0" collapsed="false">
      <c r="A4" s="0" t="s">
        <v>309</v>
      </c>
      <c r="B4" s="71" t="s">
        <v>50</v>
      </c>
      <c r="C4" s="71" t="s">
        <v>58</v>
      </c>
      <c r="D4" s="71" t="s">
        <v>305</v>
      </c>
      <c r="E4" s="0"/>
      <c r="F4" s="76" t="s">
        <v>310</v>
      </c>
      <c r="G4" s="1" t="s">
        <v>142</v>
      </c>
      <c r="H4" s="79" t="s">
        <v>311</v>
      </c>
      <c r="I4" s="85"/>
      <c r="J4" s="85"/>
      <c r="K4" s="85"/>
    </row>
    <row r="5" customFormat="false" ht="45" hidden="false" customHeight="false" outlineLevel="0" collapsed="false">
      <c r="A5" s="0" t="s">
        <v>312</v>
      </c>
      <c r="B5" s="71" t="s">
        <v>50</v>
      </c>
      <c r="C5" s="71" t="s">
        <v>58</v>
      </c>
      <c r="D5" s="71" t="s">
        <v>305</v>
      </c>
      <c r="E5" s="0"/>
      <c r="F5" s="76" t="s">
        <v>313</v>
      </c>
      <c r="G5" s="76" t="s">
        <v>142</v>
      </c>
      <c r="H5" s="79" t="s">
        <v>314</v>
      </c>
      <c r="I5" s="85"/>
      <c r="J5" s="85"/>
      <c r="K5" s="85"/>
    </row>
    <row r="6" customFormat="false" ht="15" hidden="false" customHeight="false" outlineLevel="0" collapsed="false">
      <c r="A6" s="0" t="s">
        <v>315</v>
      </c>
      <c r="B6" s="71" t="s">
        <v>50</v>
      </c>
      <c r="C6" s="71" t="s">
        <v>51</v>
      </c>
      <c r="D6" s="0"/>
      <c r="E6" s="0"/>
      <c r="F6" s="76" t="s">
        <v>316</v>
      </c>
      <c r="G6" s="76" t="s">
        <v>166</v>
      </c>
      <c r="H6" s="79"/>
      <c r="I6" s="85"/>
      <c r="J6" s="85"/>
      <c r="K6" s="85"/>
    </row>
    <row r="7" customFormat="false" ht="30" hidden="false" customHeight="false" outlineLevel="0" collapsed="false">
      <c r="A7" s="0" t="s">
        <v>317</v>
      </c>
      <c r="B7" s="71" t="s">
        <v>50</v>
      </c>
      <c r="C7" s="71" t="s">
        <v>58</v>
      </c>
      <c r="D7" s="71" t="s">
        <v>315</v>
      </c>
      <c r="E7" s="71" t="s">
        <v>76</v>
      </c>
      <c r="F7" s="76" t="s">
        <v>293</v>
      </c>
      <c r="G7" s="76" t="s">
        <v>145</v>
      </c>
      <c r="H7" s="79" t="s">
        <v>327</v>
      </c>
      <c r="I7" s="85"/>
      <c r="J7" s="85"/>
      <c r="K7" s="85"/>
    </row>
    <row r="8" customFormat="false" ht="30" hidden="false" customHeight="false" outlineLevel="0" collapsed="false">
      <c r="A8" s="0" t="s">
        <v>319</v>
      </c>
      <c r="B8" s="71" t="s">
        <v>50</v>
      </c>
      <c r="C8" s="71" t="s">
        <v>58</v>
      </c>
      <c r="D8" s="71" t="s">
        <v>315</v>
      </c>
      <c r="F8" s="76" t="s">
        <v>320</v>
      </c>
      <c r="G8" s="76" t="s">
        <v>166</v>
      </c>
      <c r="H8" s="79" t="s">
        <v>321</v>
      </c>
      <c r="I8" s="86"/>
      <c r="J8" s="86"/>
      <c r="K8" s="86"/>
    </row>
    <row r="9" customFormat="false" ht="60" hidden="false" customHeight="false" outlineLevel="0" collapsed="false">
      <c r="A9" s="0" t="s">
        <v>322</v>
      </c>
      <c r="B9" s="71" t="s">
        <v>50</v>
      </c>
      <c r="C9" s="71" t="s">
        <v>58</v>
      </c>
      <c r="D9" s="71" t="s">
        <v>315</v>
      </c>
      <c r="F9" s="76" t="s">
        <v>313</v>
      </c>
      <c r="G9" s="76" t="s">
        <v>166</v>
      </c>
      <c r="H9" s="79" t="s">
        <v>323</v>
      </c>
      <c r="I9" s="86"/>
      <c r="J9" s="86"/>
      <c r="K9"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sheetPr filterMode="false">
    <pageSetUpPr fitToPage="false"/>
  </sheetPr>
  <dimension ref="A1:K9"/>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H2" activeCellId="0" sqref="H2"/>
    </sheetView>
  </sheetViews>
  <sheetFormatPr defaultRowHeight="15"/>
  <cols>
    <col collapsed="false" hidden="false" max="1" min="1" style="0" width="4.32142857142857"/>
    <col collapsed="false" hidden="false" max="2" min="2" style="66" width="3.37244897959184"/>
    <col collapsed="false" hidden="false" max="3" min="3" style="66" width="5.12755102040816"/>
    <col collapsed="false" hidden="false" max="5" min="4" style="66" width="9.04591836734694"/>
    <col collapsed="false" hidden="false" max="6" min="6" style="0" width="35.3673469387755"/>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60" hidden="false" customHeight="false" outlineLevel="0" collapsed="false">
      <c r="A2" s="0" t="s">
        <v>329</v>
      </c>
      <c r="B2" s="71" t="s">
        <v>50</v>
      </c>
      <c r="C2" s="71" t="s">
        <v>58</v>
      </c>
      <c r="D2" s="71" t="s">
        <v>54</v>
      </c>
      <c r="E2" s="0"/>
      <c r="F2" s="76" t="s">
        <v>52</v>
      </c>
      <c r="G2" s="1" t="s">
        <v>138</v>
      </c>
      <c r="H2" s="79" t="s">
        <v>330</v>
      </c>
      <c r="I2" s="85"/>
      <c r="J2" s="85"/>
      <c r="K2" s="85"/>
    </row>
    <row r="3" customFormat="false" ht="15" hidden="false" customHeight="false" outlineLevel="0" collapsed="false">
      <c r="A3" s="0" t="s">
        <v>331</v>
      </c>
      <c r="B3" s="71" t="s">
        <v>50</v>
      </c>
      <c r="C3" s="71" t="s">
        <v>51</v>
      </c>
      <c r="D3" s="0"/>
      <c r="E3" s="0"/>
      <c r="F3" s="76" t="s">
        <v>332</v>
      </c>
      <c r="G3" s="1" t="s">
        <v>138</v>
      </c>
      <c r="H3" s="79" t="s">
        <v>333</v>
      </c>
      <c r="I3" s="85"/>
      <c r="J3" s="85"/>
      <c r="K3" s="85"/>
    </row>
    <row r="4" customFormat="false" ht="15" hidden="false" customHeight="false" outlineLevel="0" collapsed="false">
      <c r="A4" s="0" t="s">
        <v>334</v>
      </c>
      <c r="B4" s="71" t="s">
        <v>50</v>
      </c>
      <c r="C4" s="71" t="s">
        <v>51</v>
      </c>
      <c r="D4" s="0"/>
      <c r="E4" s="0"/>
      <c r="F4" s="76" t="s">
        <v>335</v>
      </c>
      <c r="G4" s="71" t="s">
        <v>142</v>
      </c>
      <c r="H4" s="79" t="s">
        <v>336</v>
      </c>
      <c r="I4" s="85"/>
      <c r="J4" s="85"/>
      <c r="K4" s="85"/>
    </row>
    <row r="5" customFormat="false" ht="45" hidden="false" customHeight="false" outlineLevel="0" collapsed="false">
      <c r="A5" s="0" t="s">
        <v>337</v>
      </c>
      <c r="B5" s="71" t="s">
        <v>50</v>
      </c>
      <c r="C5" s="71" t="s">
        <v>58</v>
      </c>
      <c r="D5" s="71" t="s">
        <v>70</v>
      </c>
      <c r="E5" s="0"/>
      <c r="F5" s="76" t="s">
        <v>338</v>
      </c>
      <c r="G5" s="76" t="s">
        <v>142</v>
      </c>
      <c r="H5" s="79" t="s">
        <v>339</v>
      </c>
      <c r="I5" s="85"/>
      <c r="J5" s="85"/>
      <c r="K5" s="85"/>
    </row>
    <row r="6" customFormat="false" ht="15" hidden="false" customHeight="false" outlineLevel="0" collapsed="false">
      <c r="A6" s="0" t="s">
        <v>340</v>
      </c>
      <c r="B6" s="71" t="s">
        <v>50</v>
      </c>
      <c r="C6" s="71" t="s">
        <v>51</v>
      </c>
      <c r="E6" s="0"/>
      <c r="F6" s="76" t="s">
        <v>341</v>
      </c>
      <c r="G6" s="76" t="s">
        <v>166</v>
      </c>
      <c r="H6" s="79" t="s">
        <v>342</v>
      </c>
      <c r="I6" s="85"/>
      <c r="J6" s="85"/>
      <c r="K6" s="85"/>
    </row>
    <row r="7" customFormat="false" ht="45" hidden="false" customHeight="false" outlineLevel="0" collapsed="false">
      <c r="A7" s="0" t="s">
        <v>343</v>
      </c>
      <c r="B7" s="71" t="s">
        <v>50</v>
      </c>
      <c r="C7" s="71" t="s">
        <v>51</v>
      </c>
      <c r="E7" s="0"/>
      <c r="F7" s="76" t="s">
        <v>344</v>
      </c>
      <c r="G7" s="76" t="s">
        <v>166</v>
      </c>
      <c r="H7" s="79" t="s">
        <v>345</v>
      </c>
      <c r="I7" s="85"/>
      <c r="J7" s="85"/>
      <c r="K7" s="85"/>
    </row>
    <row r="8" customFormat="false" ht="15" hidden="false" customHeight="false" outlineLevel="0" collapsed="false">
      <c r="A8" s="0" t="s">
        <v>346</v>
      </c>
      <c r="B8" s="71" t="s">
        <v>50</v>
      </c>
      <c r="C8" s="71" t="s">
        <v>51</v>
      </c>
      <c r="E8" s="0"/>
      <c r="F8" s="76" t="s">
        <v>347</v>
      </c>
      <c r="G8" s="76" t="s">
        <v>348</v>
      </c>
      <c r="H8" s="79" t="s">
        <v>349</v>
      </c>
      <c r="I8" s="86"/>
      <c r="J8" s="86"/>
      <c r="K8" s="86"/>
    </row>
    <row r="9" customFormat="false" ht="75" hidden="false" customHeight="false" outlineLevel="0" collapsed="false">
      <c r="A9" s="0" t="s">
        <v>350</v>
      </c>
      <c r="B9" s="71" t="s">
        <v>50</v>
      </c>
      <c r="C9" s="71" t="s">
        <v>51</v>
      </c>
      <c r="E9" s="71" t="s">
        <v>78</v>
      </c>
      <c r="F9" s="76" t="s">
        <v>351</v>
      </c>
      <c r="G9" s="76" t="s">
        <v>352</v>
      </c>
      <c r="H9" s="79" t="s">
        <v>353</v>
      </c>
      <c r="I9" s="86"/>
      <c r="J9" s="86"/>
      <c r="K9"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sheetPr filterMode="false">
    <pageSetUpPr fitToPage="false"/>
  </sheetPr>
  <dimension ref="A1:K9"/>
  <sheetViews>
    <sheetView windowProtection="false"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0" activeCellId="0" sqref="A10"/>
    </sheetView>
  </sheetViews>
  <sheetFormatPr defaultRowHeight="15"/>
  <cols>
    <col collapsed="false" hidden="false" max="1" min="1" style="0" width="4.32142857142857"/>
    <col collapsed="false" hidden="false" max="2" min="2" style="66" width="3.37244897959184"/>
    <col collapsed="false" hidden="false" max="3" min="3" style="66" width="5.12755102040816"/>
    <col collapsed="false" hidden="false" max="5" min="4" style="66" width="9.04591836734694"/>
    <col collapsed="false" hidden="false" max="6" min="6" style="0" width="35.3673469387755"/>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60" hidden="false" customHeight="false" outlineLevel="0" collapsed="false">
      <c r="A2" s="0" t="s">
        <v>329</v>
      </c>
      <c r="B2" s="71" t="s">
        <v>50</v>
      </c>
      <c r="C2" s="71" t="s">
        <v>58</v>
      </c>
      <c r="D2" s="71" t="s">
        <v>54</v>
      </c>
      <c r="E2" s="0"/>
      <c r="F2" s="76" t="s">
        <v>52</v>
      </c>
      <c r="G2" s="1" t="s">
        <v>138</v>
      </c>
      <c r="H2" s="79" t="s">
        <v>330</v>
      </c>
      <c r="I2" s="85"/>
      <c r="J2" s="85"/>
      <c r="K2" s="85"/>
    </row>
    <row r="3" customFormat="false" ht="15" hidden="false" customHeight="false" outlineLevel="0" collapsed="false">
      <c r="A3" s="0" t="s">
        <v>331</v>
      </c>
      <c r="B3" s="71" t="s">
        <v>50</v>
      </c>
      <c r="C3" s="71" t="s">
        <v>51</v>
      </c>
      <c r="D3" s="0"/>
      <c r="E3" s="0"/>
      <c r="F3" s="76" t="s">
        <v>332</v>
      </c>
      <c r="G3" s="1" t="s">
        <v>138</v>
      </c>
      <c r="H3" s="79" t="s">
        <v>354</v>
      </c>
      <c r="I3" s="85"/>
      <c r="J3" s="85"/>
      <c r="K3" s="85"/>
    </row>
    <row r="4" customFormat="false" ht="60" hidden="false" customHeight="false" outlineLevel="0" collapsed="false">
      <c r="A4" s="0" t="s">
        <v>334</v>
      </c>
      <c r="B4" s="71" t="s">
        <v>50</v>
      </c>
      <c r="C4" s="71" t="s">
        <v>58</v>
      </c>
      <c r="D4" s="71" t="s">
        <v>70</v>
      </c>
      <c r="E4" s="0"/>
      <c r="F4" s="76" t="s">
        <v>355</v>
      </c>
      <c r="G4" s="1" t="s">
        <v>142</v>
      </c>
      <c r="H4" s="79" t="s">
        <v>356</v>
      </c>
      <c r="I4" s="85"/>
      <c r="J4" s="85"/>
      <c r="K4" s="85"/>
    </row>
    <row r="5" customFormat="false" ht="45" hidden="false" customHeight="false" outlineLevel="0" collapsed="false">
      <c r="A5" s="0" t="s">
        <v>337</v>
      </c>
      <c r="B5" s="71" t="s">
        <v>50</v>
      </c>
      <c r="C5" s="71" t="s">
        <v>58</v>
      </c>
      <c r="D5" s="71" t="s">
        <v>70</v>
      </c>
      <c r="E5" s="0"/>
      <c r="F5" s="76" t="s">
        <v>338</v>
      </c>
      <c r="G5" s="76" t="s">
        <v>142</v>
      </c>
      <c r="H5" s="79" t="s">
        <v>339</v>
      </c>
      <c r="I5" s="85"/>
      <c r="J5" s="85"/>
      <c r="K5" s="85"/>
    </row>
    <row r="6" customFormat="false" ht="45" hidden="false" customHeight="false" outlineLevel="0" collapsed="false">
      <c r="A6" s="0" t="s">
        <v>340</v>
      </c>
      <c r="B6" s="71" t="s">
        <v>50</v>
      </c>
      <c r="C6" s="71" t="s">
        <v>51</v>
      </c>
      <c r="E6" s="0"/>
      <c r="F6" s="76" t="s">
        <v>357</v>
      </c>
      <c r="G6" s="76" t="s">
        <v>155</v>
      </c>
      <c r="H6" s="79" t="s">
        <v>358</v>
      </c>
      <c r="I6" s="85"/>
      <c r="J6" s="85"/>
      <c r="K6" s="85"/>
    </row>
    <row r="7" customFormat="false" ht="45" hidden="false" customHeight="false" outlineLevel="0" collapsed="false">
      <c r="A7" s="0" t="s">
        <v>343</v>
      </c>
      <c r="B7" s="71" t="s">
        <v>50</v>
      </c>
      <c r="C7" s="71" t="s">
        <v>51</v>
      </c>
      <c r="E7" s="0"/>
      <c r="F7" s="76" t="s">
        <v>359</v>
      </c>
      <c r="G7" s="76" t="s">
        <v>252</v>
      </c>
      <c r="H7" s="79" t="s">
        <v>360</v>
      </c>
      <c r="I7" s="85"/>
      <c r="J7" s="85"/>
      <c r="K7" s="85"/>
    </row>
    <row r="8" customFormat="false" ht="15" hidden="false" customHeight="false" outlineLevel="0" collapsed="false">
      <c r="A8" s="0" t="s">
        <v>346</v>
      </c>
      <c r="B8" s="71" t="s">
        <v>50</v>
      </c>
      <c r="C8" s="71" t="s">
        <v>51</v>
      </c>
      <c r="E8" s="71" t="s">
        <v>78</v>
      </c>
      <c r="F8" s="76" t="s">
        <v>341</v>
      </c>
      <c r="G8" s="76" t="s">
        <v>269</v>
      </c>
      <c r="H8" s="79" t="s">
        <v>342</v>
      </c>
      <c r="I8" s="85"/>
      <c r="J8" s="85"/>
      <c r="K8" s="85"/>
    </row>
    <row r="9" customFormat="false" ht="75" hidden="false" customHeight="false" outlineLevel="0" collapsed="false">
      <c r="A9" s="0" t="s">
        <v>350</v>
      </c>
      <c r="B9" s="71" t="s">
        <v>50</v>
      </c>
      <c r="C9" s="71" t="s">
        <v>51</v>
      </c>
      <c r="E9" s="71" t="s">
        <v>78</v>
      </c>
      <c r="F9" s="76" t="s">
        <v>351</v>
      </c>
      <c r="G9" s="76" t="s">
        <v>352</v>
      </c>
      <c r="H9" s="79" t="s">
        <v>353</v>
      </c>
      <c r="I9" s="0"/>
      <c r="J9" s="0"/>
      <c r="K9" s="0"/>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sheetPr filterMode="false">
    <pageSetUpPr fitToPage="false"/>
  </sheetPr>
  <dimension ref="A1:K16"/>
  <sheetViews>
    <sheetView windowProtection="false"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K16" activeCellId="0" sqref="K16"/>
    </sheetView>
  </sheetViews>
  <sheetFormatPr defaultRowHeight="15"/>
  <cols>
    <col collapsed="false" hidden="false" max="1" min="1" style="0" width="4.32142857142857"/>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361</v>
      </c>
      <c r="B2" s="71" t="s">
        <v>50</v>
      </c>
      <c r="C2" s="71" t="s">
        <v>51</v>
      </c>
      <c r="D2" s="0"/>
      <c r="F2" s="76" t="s">
        <v>362</v>
      </c>
      <c r="G2" s="1" t="s">
        <v>138</v>
      </c>
      <c r="H2" s="79"/>
      <c r="I2" s="85"/>
      <c r="J2" s="85"/>
      <c r="K2" s="85"/>
    </row>
    <row r="3" customFormat="false" ht="15" hidden="false" customHeight="false" outlineLevel="0" collapsed="false">
      <c r="A3" s="0" t="s">
        <v>363</v>
      </c>
      <c r="B3" s="71" t="s">
        <v>50</v>
      </c>
      <c r="C3" s="71" t="s">
        <v>58</v>
      </c>
      <c r="D3" s="71" t="s">
        <v>361</v>
      </c>
      <c r="F3" s="76" t="s">
        <v>364</v>
      </c>
      <c r="G3" s="1" t="s">
        <v>138</v>
      </c>
      <c r="H3" s="79"/>
      <c r="I3" s="85"/>
      <c r="J3" s="85"/>
      <c r="K3" s="85"/>
    </row>
    <row r="4" customFormat="false" ht="15" hidden="false" customHeight="false" outlineLevel="0" collapsed="false">
      <c r="A4" s="0" t="s">
        <v>365</v>
      </c>
      <c r="B4" s="71" t="s">
        <v>50</v>
      </c>
      <c r="C4" s="71" t="s">
        <v>58</v>
      </c>
      <c r="D4" s="71" t="s">
        <v>361</v>
      </c>
      <c r="F4" s="76" t="s">
        <v>366</v>
      </c>
      <c r="G4" s="1" t="s">
        <v>138</v>
      </c>
      <c r="H4" s="79"/>
      <c r="I4" s="85"/>
      <c r="J4" s="85"/>
      <c r="K4" s="85"/>
    </row>
    <row r="5" customFormat="false" ht="15" hidden="false" customHeight="false" outlineLevel="0" collapsed="false">
      <c r="A5" s="0" t="s">
        <v>367</v>
      </c>
      <c r="B5" s="71" t="s">
        <v>50</v>
      </c>
      <c r="C5" s="71" t="s">
        <v>58</v>
      </c>
      <c r="D5" s="71" t="s">
        <v>361</v>
      </c>
      <c r="F5" s="76" t="s">
        <v>368</v>
      </c>
      <c r="G5" s="1" t="s">
        <v>138</v>
      </c>
      <c r="H5" s="79"/>
      <c r="I5" s="85"/>
      <c r="J5" s="85"/>
      <c r="K5" s="85"/>
    </row>
    <row r="6" customFormat="false" ht="15" hidden="false" customHeight="false" outlineLevel="0" collapsed="false">
      <c r="A6" s="0" t="s">
        <v>369</v>
      </c>
      <c r="B6" s="71" t="s">
        <v>50</v>
      </c>
      <c r="C6" s="71" t="s">
        <v>58</v>
      </c>
      <c r="D6" s="71" t="s">
        <v>361</v>
      </c>
      <c r="F6" s="76" t="s">
        <v>370</v>
      </c>
      <c r="G6" s="1" t="s">
        <v>138</v>
      </c>
      <c r="H6" s="79"/>
      <c r="I6" s="85"/>
      <c r="J6" s="85"/>
      <c r="K6" s="85"/>
    </row>
    <row r="7" customFormat="false" ht="15" hidden="false" customHeight="false" outlineLevel="0" collapsed="false">
      <c r="A7" s="0" t="s">
        <v>371</v>
      </c>
      <c r="B7" s="71" t="s">
        <v>50</v>
      </c>
      <c r="C7" s="71" t="s">
        <v>58</v>
      </c>
      <c r="D7" s="71" t="s">
        <v>361</v>
      </c>
      <c r="F7" s="76" t="s">
        <v>372</v>
      </c>
      <c r="G7" s="1" t="s">
        <v>138</v>
      </c>
      <c r="H7" s="79" t="s">
        <v>373</v>
      </c>
      <c r="I7" s="85"/>
      <c r="J7" s="85"/>
      <c r="K7" s="85"/>
    </row>
    <row r="8" customFormat="false" ht="60" hidden="false" customHeight="false" outlineLevel="0" collapsed="false">
      <c r="A8" s="0" t="s">
        <v>374</v>
      </c>
      <c r="B8" s="71" t="s">
        <v>50</v>
      </c>
      <c r="C8" s="71" t="s">
        <v>51</v>
      </c>
      <c r="D8" s="0"/>
      <c r="F8" s="76" t="s">
        <v>52</v>
      </c>
      <c r="G8" s="1" t="s">
        <v>138</v>
      </c>
      <c r="H8" s="79" t="s">
        <v>375</v>
      </c>
      <c r="I8" s="86"/>
      <c r="J8" s="86"/>
      <c r="K8" s="86"/>
    </row>
    <row r="9" customFormat="false" ht="45" hidden="false" customHeight="false" outlineLevel="0" collapsed="false">
      <c r="A9" s="0" t="s">
        <v>376</v>
      </c>
      <c r="B9" s="71" t="s">
        <v>50</v>
      </c>
      <c r="C9" s="71" t="s">
        <v>51</v>
      </c>
      <c r="D9" s="0"/>
      <c r="F9" s="76" t="s">
        <v>65</v>
      </c>
      <c r="G9" s="76" t="s">
        <v>157</v>
      </c>
      <c r="H9" s="79" t="s">
        <v>377</v>
      </c>
      <c r="I9" s="86"/>
      <c r="J9" s="86"/>
      <c r="K9" s="86"/>
    </row>
    <row r="10" customFormat="false" ht="60" hidden="false" customHeight="false" outlineLevel="0" collapsed="false">
      <c r="A10" s="0" t="s">
        <v>378</v>
      </c>
      <c r="B10" s="71" t="s">
        <v>50</v>
      </c>
      <c r="C10" s="71" t="s">
        <v>51</v>
      </c>
      <c r="D10" s="0"/>
      <c r="F10" s="76" t="s">
        <v>379</v>
      </c>
      <c r="G10" s="76" t="s">
        <v>142</v>
      </c>
      <c r="H10" s="79" t="s">
        <v>380</v>
      </c>
      <c r="I10" s="86"/>
      <c r="J10" s="86"/>
      <c r="K10" s="86"/>
    </row>
    <row r="11" customFormat="false" ht="60" hidden="false" customHeight="false" outlineLevel="0" collapsed="false">
      <c r="A11" s="0" t="s">
        <v>381</v>
      </c>
      <c r="B11" s="71" t="s">
        <v>50</v>
      </c>
      <c r="C11" s="71" t="s">
        <v>51</v>
      </c>
      <c r="D11" s="0"/>
      <c r="F11" s="87" t="s">
        <v>382</v>
      </c>
      <c r="G11" s="76" t="s">
        <v>142</v>
      </c>
      <c r="H11" s="79" t="s">
        <v>383</v>
      </c>
      <c r="I11" s="86"/>
      <c r="J11" s="86"/>
      <c r="K11" s="86"/>
    </row>
    <row r="12" customFormat="false" ht="60" hidden="false" customHeight="false" outlineLevel="0" collapsed="false">
      <c r="A12" s="0" t="s">
        <v>384</v>
      </c>
      <c r="B12" s="71" t="s">
        <v>50</v>
      </c>
      <c r="C12" s="71" t="s">
        <v>51</v>
      </c>
      <c r="D12" s="0"/>
      <c r="F12" s="87" t="s">
        <v>385</v>
      </c>
      <c r="G12" s="76" t="s">
        <v>155</v>
      </c>
      <c r="H12" s="79" t="s">
        <v>383</v>
      </c>
      <c r="I12" s="86"/>
      <c r="J12" s="86"/>
      <c r="K12" s="86"/>
    </row>
    <row r="13" customFormat="false" ht="60" hidden="false" customHeight="false" outlineLevel="0" collapsed="false">
      <c r="A13" s="0" t="s">
        <v>386</v>
      </c>
      <c r="B13" s="71" t="s">
        <v>50</v>
      </c>
      <c r="C13" s="71" t="s">
        <v>51</v>
      </c>
      <c r="D13" s="0"/>
      <c r="F13" s="87" t="s">
        <v>387</v>
      </c>
      <c r="G13" s="76" t="s">
        <v>162</v>
      </c>
      <c r="H13" s="79" t="s">
        <v>383</v>
      </c>
      <c r="I13" s="86"/>
      <c r="J13" s="86"/>
      <c r="K13" s="86"/>
    </row>
    <row r="14" customFormat="false" ht="15" hidden="false" customHeight="false" outlineLevel="0" collapsed="false">
      <c r="A14" s="0" t="s">
        <v>388</v>
      </c>
      <c r="B14" s="71" t="s">
        <v>50</v>
      </c>
      <c r="C14" s="71" t="s">
        <v>51</v>
      </c>
      <c r="D14" s="0"/>
      <c r="F14" s="76" t="s">
        <v>389</v>
      </c>
      <c r="G14" s="76" t="s">
        <v>162</v>
      </c>
      <c r="H14" s="80"/>
      <c r="I14" s="86"/>
      <c r="J14" s="86"/>
      <c r="K14" s="86"/>
    </row>
    <row r="15" customFormat="false" ht="75" hidden="false" customHeight="false" outlineLevel="0" collapsed="false">
      <c r="A15" s="0" t="s">
        <v>390</v>
      </c>
      <c r="B15" s="71" t="s">
        <v>50</v>
      </c>
      <c r="C15" s="71" t="s">
        <v>58</v>
      </c>
      <c r="D15" s="71" t="s">
        <v>388</v>
      </c>
      <c r="F15" s="76" t="s">
        <v>391</v>
      </c>
      <c r="G15" s="76" t="s">
        <v>162</v>
      </c>
      <c r="H15" s="80" t="s">
        <v>392</v>
      </c>
      <c r="I15" s="86"/>
      <c r="J15" s="86"/>
      <c r="K15" s="86"/>
    </row>
    <row r="16" customFormat="false" ht="75" hidden="false" customHeight="false" outlineLevel="0" collapsed="false">
      <c r="A16" s="0" t="s">
        <v>393</v>
      </c>
      <c r="B16" s="71" t="s">
        <v>50</v>
      </c>
      <c r="C16" s="71" t="s">
        <v>58</v>
      </c>
      <c r="D16" s="71" t="s">
        <v>388</v>
      </c>
      <c r="F16" s="87" t="s">
        <v>394</v>
      </c>
      <c r="G16" s="76" t="s">
        <v>162</v>
      </c>
      <c r="H16" s="80" t="s">
        <v>395</v>
      </c>
      <c r="I16" s="86"/>
      <c r="J16" s="86"/>
      <c r="K16"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sheetPr filterMode="false">
    <pageSetUpPr fitToPage="false"/>
  </sheetPr>
  <dimension ref="A1:K15"/>
  <sheetViews>
    <sheetView windowProtection="false" showFormulas="false" showGridLines="true" showRowColHeaders="true" showZeros="true" rightToLeft="false" tabSelected="false" showOutlineSymbols="true" defaultGridColor="true" view="normal" topLeftCell="A7" colorId="64" zoomScale="100" zoomScaleNormal="100" zoomScalePageLayoutView="100" workbookViewId="0">
      <selection pane="topLeft" activeCell="H12" activeCellId="0" sqref="H12"/>
    </sheetView>
  </sheetViews>
  <sheetFormatPr defaultRowHeight="15"/>
  <cols>
    <col collapsed="false" hidden="false" max="1" min="1" style="0" width="4.32142857142857"/>
    <col collapsed="false" hidden="false" max="2" min="2" style="66" width="3.37244897959184"/>
    <col collapsed="false" hidden="false" max="3" min="3" style="66" width="5.12755102040816"/>
    <col collapsed="false" hidden="false" max="5" min="4" style="66" width="9.04591836734694"/>
    <col collapsed="false" hidden="false" max="6" min="6" style="0" width="27.6734693877551"/>
    <col collapsed="false" hidden="false" max="7" min="7" style="0" width="11.2040816326531"/>
    <col collapsed="false" hidden="false" max="8" min="8" style="82" width="72.3571428571429"/>
    <col collapsed="false" hidden="false" max="11" min="9" style="83" width="9.04591836734694"/>
    <col collapsed="false" hidden="false" max="1025" min="12" style="0" width="8.50510204081633"/>
  </cols>
  <sheetData>
    <row r="1" customFormat="false" ht="15" hidden="false" customHeight="false" outlineLevel="0" collapsed="false">
      <c r="A1" s="65" t="s">
        <v>39</v>
      </c>
      <c r="B1" s="67" t="s">
        <v>41</v>
      </c>
      <c r="C1" s="67" t="s">
        <v>42</v>
      </c>
      <c r="D1" s="67" t="s">
        <v>40</v>
      </c>
      <c r="E1" s="67" t="s">
        <v>135</v>
      </c>
      <c r="F1" s="68" t="s">
        <v>136</v>
      </c>
      <c r="G1" s="69" t="s">
        <v>137</v>
      </c>
      <c r="H1" s="84" t="s">
        <v>48</v>
      </c>
      <c r="I1" s="68"/>
      <c r="J1" s="68"/>
      <c r="K1" s="68"/>
    </row>
    <row r="2" customFormat="false" ht="15" hidden="false" customHeight="false" outlineLevel="0" collapsed="false">
      <c r="A2" s="0" t="s">
        <v>361</v>
      </c>
      <c r="B2" s="71" t="s">
        <v>50</v>
      </c>
      <c r="C2" s="71" t="s">
        <v>51</v>
      </c>
      <c r="D2" s="0"/>
      <c r="F2" s="76" t="s">
        <v>362</v>
      </c>
      <c r="G2" s="1" t="s">
        <v>138</v>
      </c>
      <c r="H2" s="79"/>
      <c r="I2" s="85"/>
      <c r="J2" s="85"/>
      <c r="K2" s="85"/>
    </row>
    <row r="3" customFormat="false" ht="15" hidden="false" customHeight="false" outlineLevel="0" collapsed="false">
      <c r="A3" s="0" t="s">
        <v>363</v>
      </c>
      <c r="B3" s="71" t="s">
        <v>50</v>
      </c>
      <c r="C3" s="71" t="s">
        <v>58</v>
      </c>
      <c r="D3" s="71" t="s">
        <v>361</v>
      </c>
      <c r="F3" s="76" t="s">
        <v>364</v>
      </c>
      <c r="G3" s="1" t="s">
        <v>138</v>
      </c>
      <c r="H3" s="79"/>
      <c r="I3" s="85"/>
      <c r="J3" s="85"/>
      <c r="K3" s="85"/>
    </row>
    <row r="4" customFormat="false" ht="15" hidden="false" customHeight="false" outlineLevel="0" collapsed="false">
      <c r="A4" s="0" t="s">
        <v>365</v>
      </c>
      <c r="B4" s="71" t="s">
        <v>50</v>
      </c>
      <c r="C4" s="71" t="s">
        <v>58</v>
      </c>
      <c r="D4" s="71" t="s">
        <v>361</v>
      </c>
      <c r="F4" s="76" t="s">
        <v>366</v>
      </c>
      <c r="G4" s="1" t="s">
        <v>138</v>
      </c>
      <c r="H4" s="79"/>
      <c r="I4" s="85"/>
      <c r="J4" s="85"/>
      <c r="K4" s="85"/>
    </row>
    <row r="5" customFormat="false" ht="15" hidden="false" customHeight="false" outlineLevel="0" collapsed="false">
      <c r="A5" s="0" t="s">
        <v>367</v>
      </c>
      <c r="B5" s="71" t="s">
        <v>50</v>
      </c>
      <c r="C5" s="71" t="s">
        <v>58</v>
      </c>
      <c r="D5" s="71" t="s">
        <v>361</v>
      </c>
      <c r="F5" s="76" t="s">
        <v>368</v>
      </c>
      <c r="G5" s="1" t="s">
        <v>138</v>
      </c>
      <c r="H5" s="79"/>
      <c r="I5" s="85"/>
      <c r="J5" s="85"/>
      <c r="K5" s="85"/>
    </row>
    <row r="6" customFormat="false" ht="15" hidden="false" customHeight="false" outlineLevel="0" collapsed="false">
      <c r="A6" s="0" t="s">
        <v>369</v>
      </c>
      <c r="B6" s="71" t="s">
        <v>50</v>
      </c>
      <c r="C6" s="71" t="s">
        <v>58</v>
      </c>
      <c r="D6" s="71" t="s">
        <v>361</v>
      </c>
      <c r="F6" s="76" t="s">
        <v>370</v>
      </c>
      <c r="G6" s="1" t="s">
        <v>138</v>
      </c>
      <c r="H6" s="79"/>
      <c r="I6" s="85"/>
      <c r="J6" s="85"/>
      <c r="K6" s="85"/>
    </row>
    <row r="7" customFormat="false" ht="15" hidden="false" customHeight="false" outlineLevel="0" collapsed="false">
      <c r="A7" s="0" t="s">
        <v>371</v>
      </c>
      <c r="B7" s="71" t="s">
        <v>50</v>
      </c>
      <c r="C7" s="71" t="s">
        <v>58</v>
      </c>
      <c r="D7" s="71" t="s">
        <v>361</v>
      </c>
      <c r="F7" s="76" t="s">
        <v>372</v>
      </c>
      <c r="G7" s="1" t="s">
        <v>138</v>
      </c>
      <c r="H7" s="79" t="s">
        <v>373</v>
      </c>
      <c r="I7" s="85"/>
      <c r="J7" s="85"/>
      <c r="K7" s="85"/>
    </row>
    <row r="8" customFormat="false" ht="60" hidden="false" customHeight="false" outlineLevel="0" collapsed="false">
      <c r="A8" s="0" t="s">
        <v>374</v>
      </c>
      <c r="B8" s="71" t="s">
        <v>50</v>
      </c>
      <c r="C8" s="71" t="s">
        <v>51</v>
      </c>
      <c r="D8" s="0"/>
      <c r="F8" s="76" t="s">
        <v>52</v>
      </c>
      <c r="G8" s="1" t="s">
        <v>138</v>
      </c>
      <c r="H8" s="79" t="s">
        <v>375</v>
      </c>
      <c r="I8" s="86"/>
      <c r="J8" s="86"/>
      <c r="K8" s="86"/>
    </row>
    <row r="9" customFormat="false" ht="45" hidden="false" customHeight="false" outlineLevel="0" collapsed="false">
      <c r="A9" s="0" t="s">
        <v>376</v>
      </c>
      <c r="B9" s="71" t="s">
        <v>50</v>
      </c>
      <c r="C9" s="71" t="s">
        <v>51</v>
      </c>
      <c r="D9" s="0"/>
      <c r="F9" s="76" t="s">
        <v>65</v>
      </c>
      <c r="G9" s="76" t="s">
        <v>157</v>
      </c>
      <c r="H9" s="79" t="s">
        <v>377</v>
      </c>
      <c r="I9" s="86"/>
      <c r="J9" s="86"/>
      <c r="K9" s="86"/>
    </row>
    <row r="10" customFormat="false" ht="60" hidden="false" customHeight="false" outlineLevel="0" collapsed="false">
      <c r="A10" s="0" t="s">
        <v>378</v>
      </c>
      <c r="B10" s="71" t="s">
        <v>50</v>
      </c>
      <c r="C10" s="71" t="s">
        <v>51</v>
      </c>
      <c r="D10" s="0"/>
      <c r="F10" s="76" t="s">
        <v>379</v>
      </c>
      <c r="G10" s="76" t="s">
        <v>142</v>
      </c>
      <c r="H10" s="79" t="s">
        <v>380</v>
      </c>
      <c r="I10" s="86"/>
      <c r="J10" s="86"/>
      <c r="K10" s="86"/>
    </row>
    <row r="11" customFormat="false" ht="60" hidden="false" customHeight="false" outlineLevel="0" collapsed="false">
      <c r="A11" s="0" t="s">
        <v>381</v>
      </c>
      <c r="B11" s="71" t="s">
        <v>50</v>
      </c>
      <c r="C11" s="71" t="s">
        <v>51</v>
      </c>
      <c r="D11" s="0"/>
      <c r="F11" s="87" t="s">
        <v>382</v>
      </c>
      <c r="G11" s="76" t="s">
        <v>142</v>
      </c>
      <c r="H11" s="79" t="s">
        <v>383</v>
      </c>
      <c r="I11" s="86"/>
      <c r="J11" s="86"/>
      <c r="K11" s="86"/>
    </row>
    <row r="12" customFormat="false" ht="60" hidden="false" customHeight="false" outlineLevel="0" collapsed="false">
      <c r="A12" s="0" t="s">
        <v>384</v>
      </c>
      <c r="B12" s="71" t="s">
        <v>50</v>
      </c>
      <c r="C12" s="71" t="s">
        <v>51</v>
      </c>
      <c r="D12" s="0"/>
      <c r="F12" s="87" t="s">
        <v>385</v>
      </c>
      <c r="G12" s="76" t="s">
        <v>155</v>
      </c>
      <c r="H12" s="79" t="s">
        <v>383</v>
      </c>
      <c r="I12" s="86"/>
      <c r="J12" s="86"/>
      <c r="K12" s="86"/>
    </row>
    <row r="13" customFormat="false" ht="15" hidden="false" customHeight="false" outlineLevel="0" collapsed="false">
      <c r="A13" s="0" t="s">
        <v>388</v>
      </c>
      <c r="B13" s="71" t="s">
        <v>50</v>
      </c>
      <c r="C13" s="71" t="s">
        <v>51</v>
      </c>
      <c r="D13" s="0"/>
      <c r="F13" s="76" t="s">
        <v>389</v>
      </c>
      <c r="G13" s="76" t="s">
        <v>155</v>
      </c>
      <c r="H13" s="80"/>
      <c r="I13" s="86"/>
      <c r="J13" s="86"/>
      <c r="K13" s="86"/>
    </row>
    <row r="14" customFormat="false" ht="75" hidden="false" customHeight="false" outlineLevel="0" collapsed="false">
      <c r="A14" s="0" t="s">
        <v>390</v>
      </c>
      <c r="B14" s="71" t="s">
        <v>50</v>
      </c>
      <c r="C14" s="71" t="s">
        <v>58</v>
      </c>
      <c r="D14" s="71" t="s">
        <v>388</v>
      </c>
      <c r="F14" s="76" t="s">
        <v>391</v>
      </c>
      <c r="G14" s="76" t="s">
        <v>155</v>
      </c>
      <c r="H14" s="80" t="s">
        <v>392</v>
      </c>
      <c r="I14" s="86"/>
      <c r="J14" s="86"/>
      <c r="K14" s="86"/>
    </row>
    <row r="15" customFormat="false" ht="75" hidden="false" customHeight="false" outlineLevel="0" collapsed="false">
      <c r="A15" s="0" t="s">
        <v>393</v>
      </c>
      <c r="B15" s="71" t="s">
        <v>50</v>
      </c>
      <c r="C15" s="71" t="s">
        <v>58</v>
      </c>
      <c r="D15" s="71" t="s">
        <v>388</v>
      </c>
      <c r="F15" s="87" t="s">
        <v>394</v>
      </c>
      <c r="G15" s="76" t="s">
        <v>155</v>
      </c>
      <c r="H15" s="80" t="s">
        <v>396</v>
      </c>
      <c r="I15" s="86"/>
      <c r="J15" s="86"/>
      <c r="K15" s="86"/>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TotalTime>
  <Application>LibreOffice/5.1.2.2$Linux_X86_64 LibreOffice_project/10m0$Build-2</Application>
  <Company>University of Sydney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2015-06-04T06:49:12Z</dcterms:created>
  <dc:creator>Tim Smithers</dc:creator>
  <dc:description/>
  <dc:language>en-AU</dc:language>
  <cp:lastModifiedBy/>
  <cp:lastPrinted>2015-11-29T12:39:43Z</cp:lastPrinted>
  <dcterms:modified xsi:type="dcterms:W3CDTF">2016-05-03T13:24:06Z</dcterms:modified>
  <cp:revision>1</cp:revision>
  <dc:subject/>
  <dc:title>Progression Plan Template (Full-Time) v2.2.3</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University of Sydney</vt:lpwstr>
  </property>
  <property fmtid="{D5CDD505-2E9C-101B-9397-08002B2CF9AE}" pid="4" name="ContentTypeId">
    <vt:lpwstr>0x010100EA5EFFC2097DDD48A1CFF8298FC83BB5</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ies>
</file>